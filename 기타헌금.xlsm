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 tabRatio="746" activeTab="6"/>
  </bookViews>
  <sheets>
    <sheet name="주일학교" sheetId="12" r:id="rId1"/>
    <sheet name="통장헌금" sheetId="13" r:id="rId2"/>
    <sheet name="선교헌금" sheetId="1" r:id="rId3"/>
    <sheet name="복지헌금" sheetId="2" r:id="rId4"/>
    <sheet name="선교지정" sheetId="4" r:id="rId5"/>
    <sheet name="복지지정" sheetId="9" r:id="rId6"/>
    <sheet name="굿윌지정" sheetId="11" r:id="rId7"/>
    <sheet name="목회지정" sheetId="5" r:id="rId8"/>
    <sheet name="봉사지정" sheetId="10" r:id="rId9"/>
    <sheet name="교육지정" sheetId="7" r:id="rId10"/>
    <sheet name="예배지정" sheetId="6" r:id="rId11"/>
    <sheet name="관리지정" sheetId="8" r:id="rId12"/>
    <sheet name="성도목록" sheetId="3" r:id="rId13"/>
  </sheets>
  <definedNames>
    <definedName name="성도목록">성도목록!$A:$A</definedName>
    <definedName name="이름">선교헌금!$A:$A</definedName>
  </definedNames>
  <calcPr calcId="125725"/>
</workbook>
</file>

<file path=xl/calcChain.xml><?xml version="1.0" encoding="utf-8"?>
<calcChain xmlns="http://schemas.openxmlformats.org/spreadsheetml/2006/main">
  <c r="G2" i="13"/>
  <c r="F2" i="12"/>
  <c r="T12"/>
  <c r="T11"/>
  <c r="S12"/>
  <c r="S11"/>
  <c r="S10"/>
  <c r="L2" i="13"/>
  <c r="S6" i="11"/>
  <c r="K2"/>
  <c r="F2"/>
  <c r="T6" i="9"/>
  <c r="L2"/>
  <c r="G2"/>
  <c r="T6" i="10"/>
  <c r="L2"/>
  <c r="G2"/>
  <c r="T6" i="8"/>
  <c r="L2"/>
  <c r="G2"/>
  <c r="T6" i="7"/>
  <c r="L2"/>
  <c r="G2"/>
  <c r="T6" i="4"/>
  <c r="L2"/>
  <c r="G2"/>
  <c r="T6" i="6"/>
  <c r="L2"/>
  <c r="G2"/>
  <c r="T6" i="5"/>
  <c r="L2"/>
  <c r="G2"/>
  <c r="S6" i="2"/>
  <c r="K2"/>
  <c r="F2"/>
  <c r="F3" i="12"/>
  <c r="T10" s="1"/>
  <c r="S9"/>
  <c r="T6" i="11" l="1"/>
  <c r="U6" i="10"/>
  <c r="U6" i="6"/>
  <c r="U6" i="9"/>
  <c r="U6" i="8"/>
  <c r="U6" i="7"/>
  <c r="U6" i="4"/>
  <c r="T6" i="2"/>
  <c r="T9" i="12"/>
  <c r="U6" i="5"/>
  <c r="S6" i="1" l="1"/>
  <c r="K2"/>
  <c r="F2"/>
  <c r="T6" l="1"/>
</calcChain>
</file>

<file path=xl/sharedStrings.xml><?xml version="1.0" encoding="utf-8"?>
<sst xmlns="http://schemas.openxmlformats.org/spreadsheetml/2006/main" count="702" uniqueCount="471">
  <si>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</si>
  <si>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</si>
  <si>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</si>
  <si>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</si>
  <si>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</si>
  <si>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</si>
  <si>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</si>
  <si>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</si>
  <si>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</si>
  <si>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</si>
  <si>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</si>
  <si>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</si>
  <si>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</si>
  <si>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</si>
  <si>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</si>
  <si>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</si>
  <si>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</si>
  <si>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</si>
  <si>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</si>
  <si>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</si>
  <si>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</si>
  <si>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</si>
  <si>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</si>
  <si>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</si>
  <si>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</si>
  <si>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</si>
  <si>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</si>
  <si>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</si>
  <si>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</si>
  <si>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</si>
  <si>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</si>
  <si>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</si>
  <si>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</si>
  <si>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</si>
  <si>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</si>
  <si>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</si>
  <si>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</si>
  <si>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</si>
  <si>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</si>
  <si>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</si>
  <si>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</si>
  <si>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</si>
  <si>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</si>
  <si>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</si>
  <si>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</si>
  <si>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</si>
  <si>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</si>
  <si>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</si>
  <si>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</si>
  <si>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</si>
  <si>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</si>
  <si>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</si>
  <si>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</si>
  <si>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</si>
  <si>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</si>
  <si>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</si>
  <si>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</si>
  <si>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</si>
  <si>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</si>
  <si>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</si>
  <si>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</si>
  <si>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</si>
  <si>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</si>
  <si>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</si>
  <si>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</si>
  <si>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</si>
  <si>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</si>
  <si>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</si>
  <si>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</si>
  <si>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</si>
  <si>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</si>
  <si>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</si>
  <si>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</si>
  <si>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</si>
  <si>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</si>
  <si>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</si>
  <si>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</si>
  <si>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</si>
  <si>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</si>
  <si>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</si>
  <si>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</si>
  <si>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</si>
  <si>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</si>
  <si>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</si>
  <si>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</si>
  <si>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</si>
  <si>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</si>
  <si>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</si>
  <si>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</si>
  <si>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</si>
  <si>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</si>
  <si>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</si>
  <si>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</si>
  <si>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</si>
  <si>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</si>
  <si>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</si>
  <si>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</si>
  <si>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</si>
  <si>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</si>
  <si>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</si>
  <si>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</si>
  <si>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</si>
  <si>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이름</t>
    <phoneticPr fontId="1" type="noConversion"/>
  </si>
  <si>
    <t>금액(천원)</t>
    <phoneticPr fontId="1" type="noConversion"/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</si>
  <si>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</si>
  <si>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</si>
  <si>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</si>
  <si>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</si>
  <si>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</si>
  <si>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</si>
  <si>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</si>
  <si>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</si>
  <si>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</si>
  <si>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</si>
  <si>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</si>
  <si>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</si>
  <si>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</si>
  <si>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</si>
  <si>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</si>
  <si>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</si>
  <si>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</si>
  <si>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</si>
  <si>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</si>
  <si>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</si>
  <si>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</si>
  <si>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</si>
  <si>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</si>
  <si>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</si>
  <si>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</si>
  <si>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</si>
  <si>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</si>
  <si>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</si>
  <si>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</si>
  <si>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</si>
  <si>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</si>
  <si>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</si>
  <si>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</si>
  <si>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</si>
  <si>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</si>
  <si>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</si>
  <si>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</si>
  <si>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</si>
  <si>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</si>
  <si>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</si>
  <si>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</si>
  <si>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</si>
  <si>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</si>
  <si>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</si>
  <si>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</si>
  <si>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</si>
  <si>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</si>
  <si>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</si>
  <si>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</si>
  <si>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</si>
  <si>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</si>
  <si>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</si>
  <si>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</si>
  <si>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</si>
  <si>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</si>
  <si>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</si>
  <si>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</si>
  <si>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</si>
  <si>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</si>
  <si>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</si>
  <si>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</si>
  <si>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</si>
  <si>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</si>
  <si>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</si>
  <si>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</si>
  <si>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</si>
  <si>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</si>
  <si>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</si>
  <si>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</si>
  <si>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</si>
  <si>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</si>
  <si>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</si>
  <si>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</si>
  <si>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</si>
  <si>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</si>
  <si>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</si>
  <si>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</si>
  <si>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</si>
  <si>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</si>
  <si>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</si>
  <si>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</si>
  <si>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</si>
  <si>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</si>
  <si>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</si>
  <si>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</si>
  <si>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</si>
  <si>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</si>
  <si>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</si>
  <si>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</si>
  <si>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</si>
  <si>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</si>
  <si>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</si>
  <si>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</si>
  <si>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</si>
  <si>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</si>
  <si>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</si>
  <si>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</si>
  <si>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</si>
  <si>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</si>
  <si>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</si>
  <si>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</si>
  <si>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</si>
  <si>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</si>
  <si>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</si>
  <si>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</si>
  <si>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</si>
  <si>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</si>
  <si>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</si>
  <si>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</si>
  <si>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</si>
  <si>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</si>
  <si>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</si>
  <si>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</si>
  <si>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</si>
  <si>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</si>
  <si>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</si>
  <si>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</si>
  <si>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</si>
  <si>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</si>
  <si>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</si>
  <si>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</si>
  <si>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</si>
  <si>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</si>
  <si>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</si>
  <si>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</si>
  <si>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</si>
  <si>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</si>
  <si>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</si>
  <si>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</si>
  <si>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</si>
  <si>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</si>
  <si>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</si>
  <si>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</si>
  <si>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</si>
  <si>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</si>
  <si>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</si>
  <si>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</si>
  <si>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</si>
  <si>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</si>
  <si>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</si>
  <si>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</si>
  <si>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</si>
  <si>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</si>
  <si>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</si>
  <si>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</si>
  <si>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</si>
  <si>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</si>
  <si>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</si>
  <si>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</si>
  <si>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</si>
  <si>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</si>
  <si>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</si>
  <si>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</si>
  <si>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</si>
  <si>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</si>
  <si>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</si>
  <si>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</si>
  <si>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</si>
  <si>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</si>
  <si>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</si>
  <si>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</si>
  <si>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</si>
  <si>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</si>
  <si>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</si>
  <si>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</si>
  <si>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</si>
  <si>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</si>
  <si>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</si>
  <si>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</si>
  <si>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</si>
  <si>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</si>
  <si>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</si>
  <si>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</si>
  <si>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</si>
  <si>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</si>
  <si>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</si>
  <si>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</si>
  <si>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</si>
  <si>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</si>
  <si>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</si>
  <si>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</si>
  <si>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</si>
  <si>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</si>
  <si>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</si>
  <si>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</si>
  <si>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</si>
  <si>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</si>
  <si>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</si>
  <si>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</si>
  <si>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</si>
  <si>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</si>
  <si>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</si>
  <si>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</si>
  <si>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</si>
  <si>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</si>
  <si>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</si>
  <si>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</si>
  <si>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</si>
  <si>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</si>
  <si>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</si>
  <si>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</si>
  <si>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</si>
  <si>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</si>
  <si>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</si>
  <si>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</si>
  <si>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</si>
  <si>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</si>
  <si>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</si>
  <si>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</si>
  <si>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</si>
  <si>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</si>
  <si>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</si>
  <si>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</si>
  <si>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</si>
  <si>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</si>
  <si>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</si>
  <si>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</si>
  <si>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</si>
  <si>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</si>
  <si>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</si>
  <si>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</si>
  <si>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</si>
  <si>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</si>
  <si>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</si>
  <si>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</si>
  <si>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</si>
  <si>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</si>
  <si>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</si>
  <si>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</si>
  <si>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</si>
  <si>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</si>
  <si>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</si>
  <si>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</si>
  <si>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</si>
  <si>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</si>
  <si>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</si>
  <si>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</si>
  <si>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</si>
  <si>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</si>
  <si>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</si>
  <si>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</si>
  <si>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</si>
  <si>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</si>
  <si>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</si>
  <si>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</si>
  <si>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</si>
  <si>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</si>
  <si>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</si>
  <si>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</si>
  <si>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</si>
  <si>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</si>
  <si>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</si>
  <si>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</si>
  <si>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</si>
  <si>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</si>
  <si>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</si>
  <si>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</si>
  <si>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</si>
  <si>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</si>
  <si>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</si>
  <si>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</si>
  <si>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</si>
  <si>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</si>
  <si>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</si>
  <si>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</si>
  <si>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</si>
  <si>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</si>
  <si>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</si>
  <si>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</si>
  <si>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</si>
  <si>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</si>
  <si>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</si>
  <si>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</si>
  <si>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</si>
  <si>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</si>
  <si>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</si>
  <si>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</si>
  <si>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</si>
  <si>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</si>
  <si>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</si>
  <si>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</si>
  <si>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</si>
  <si>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</si>
  <si>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</si>
  <si>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</si>
  <si>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</si>
  <si>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</si>
  <si>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</si>
  <si>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</si>
  <si>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</si>
  <si>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</si>
  <si>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</si>
  <si>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</si>
  <si>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</si>
  <si>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</si>
  <si>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</si>
  <si>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</si>
  <si>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</si>
  <si>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</si>
  <si>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</si>
  <si>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</si>
  <si>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</si>
  <si>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</si>
  <si>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</si>
  <si>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</si>
  <si>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</si>
  <si>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</si>
  <si>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</si>
  <si>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</si>
  <si>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</si>
  <si>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합계</t>
    <phoneticPr fontId="1" type="noConversion"/>
  </si>
  <si>
    <t>차이</t>
    <phoneticPr fontId="1" type="noConversion"/>
  </si>
  <si>
    <t>건수</t>
    <phoneticPr fontId="1" type="noConversion"/>
  </si>
  <si>
    <t>비정액수표</t>
    <phoneticPr fontId="12" type="noConversion"/>
  </si>
  <si>
    <t>이백</t>
    <phoneticPr fontId="12" type="noConversion"/>
  </si>
  <si>
    <t>백만</t>
    <phoneticPr fontId="12" type="noConversion"/>
  </si>
  <si>
    <t>오십</t>
    <phoneticPr fontId="12" type="noConversion"/>
  </si>
  <si>
    <t>삼십</t>
    <phoneticPr fontId="12" type="noConversion"/>
  </si>
  <si>
    <t>십만</t>
    <phoneticPr fontId="12" type="noConversion"/>
  </si>
  <si>
    <t>오만</t>
    <phoneticPr fontId="12" type="noConversion"/>
  </si>
  <si>
    <t>만원</t>
    <phoneticPr fontId="12" type="noConversion"/>
  </si>
  <si>
    <t>오천</t>
    <phoneticPr fontId="12" type="noConversion"/>
  </si>
  <si>
    <t>천원</t>
    <phoneticPr fontId="12" type="noConversion"/>
  </si>
  <si>
    <t>오백</t>
    <phoneticPr fontId="12" type="noConversion"/>
  </si>
  <si>
    <t>백원</t>
    <phoneticPr fontId="12" type="noConversion"/>
  </si>
  <si>
    <t>십원</t>
    <phoneticPr fontId="12" type="noConversion"/>
  </si>
  <si>
    <t>수표</t>
    <phoneticPr fontId="12" type="noConversion"/>
  </si>
  <si>
    <t>지폐</t>
    <phoneticPr fontId="12" type="noConversion"/>
  </si>
  <si>
    <t>주화</t>
    <phoneticPr fontId="12" type="noConversion"/>
  </si>
  <si>
    <t>선교헌금 합계</t>
    <phoneticPr fontId="1" type="noConversion"/>
  </si>
  <si>
    <t>주일헌금(무기명)</t>
    <phoneticPr fontId="1" type="noConversion"/>
  </si>
  <si>
    <t>주일학교</t>
    <phoneticPr fontId="1" type="noConversion"/>
  </si>
  <si>
    <t>외국인예배</t>
    <phoneticPr fontId="1" type="noConversion"/>
  </si>
  <si>
    <t>기타수입</t>
    <phoneticPr fontId="1" type="noConversion"/>
  </si>
  <si>
    <t>선교헌금</t>
    <phoneticPr fontId="1" type="noConversion"/>
  </si>
  <si>
    <t>주일헌금</t>
    <phoneticPr fontId="1" type="noConversion"/>
  </si>
  <si>
    <t>기타수입</t>
    <phoneticPr fontId="1" type="noConversion"/>
  </si>
  <si>
    <t>외국인예배</t>
    <phoneticPr fontId="1" type="noConversion"/>
  </si>
  <si>
    <t>청년부헌금</t>
    <phoneticPr fontId="1" type="noConversion"/>
  </si>
  <si>
    <t>고등부헌금</t>
    <phoneticPr fontId="1" type="noConversion"/>
  </si>
  <si>
    <t>중등부헌금</t>
    <phoneticPr fontId="1" type="noConversion"/>
  </si>
  <si>
    <t>유년부헌금</t>
    <phoneticPr fontId="1" type="noConversion"/>
  </si>
  <si>
    <t>초등부헌금</t>
    <phoneticPr fontId="1" type="noConversion"/>
  </si>
  <si>
    <t>유치부헌금</t>
    <phoneticPr fontId="1" type="noConversion"/>
  </si>
  <si>
    <t>주일학교</t>
    <phoneticPr fontId="1" type="noConversion"/>
  </si>
  <si>
    <t>외국인예배</t>
    <phoneticPr fontId="1" type="noConversion"/>
  </si>
  <si>
    <t>복지헌금</t>
    <phoneticPr fontId="1" type="noConversion"/>
  </si>
  <si>
    <t>복지헌금 합계</t>
    <phoneticPr fontId="1" type="noConversion"/>
  </si>
  <si>
    <t>지정처</t>
    <phoneticPr fontId="1" type="noConversion"/>
  </si>
  <si>
    <t>예배팀지정헌금합계</t>
    <phoneticPr fontId="1" type="noConversion"/>
  </si>
  <si>
    <t>목회팀지정헌금합계</t>
    <phoneticPr fontId="1" type="noConversion"/>
  </si>
  <si>
    <t>선교팀지정헌금합계</t>
    <phoneticPr fontId="1" type="noConversion"/>
  </si>
  <si>
    <t>교육팀지정헌금합계</t>
    <phoneticPr fontId="1" type="noConversion"/>
  </si>
  <si>
    <t>관리팀지정헌금합계</t>
    <phoneticPr fontId="1" type="noConversion"/>
  </si>
  <si>
    <t>봉사팀지정헌금합계</t>
    <phoneticPr fontId="1" type="noConversion"/>
  </si>
  <si>
    <t>복지팀지정헌금합계</t>
    <phoneticPr fontId="1" type="noConversion"/>
  </si>
  <si>
    <t>굿윌지정헌금 합계</t>
    <phoneticPr fontId="1" type="noConversion"/>
  </si>
  <si>
    <t>굿윌지정</t>
    <phoneticPr fontId="1" type="noConversion"/>
  </si>
  <si>
    <t>통장헌금</t>
    <phoneticPr fontId="1" type="noConversion"/>
  </si>
  <si>
    <t>분류</t>
    <phoneticPr fontId="1" type="noConversion"/>
  </si>
  <si>
    <t>선교지정</t>
    <phoneticPr fontId="1" type="noConversion"/>
  </si>
  <si>
    <t>복지지정</t>
    <phoneticPr fontId="1" type="noConversion"/>
  </si>
  <si>
    <t>목회지정</t>
    <phoneticPr fontId="1" type="noConversion"/>
  </si>
  <si>
    <t>봉사지정</t>
    <phoneticPr fontId="1" type="noConversion"/>
  </si>
  <si>
    <t>교육지정</t>
    <phoneticPr fontId="1" type="noConversion"/>
  </si>
  <si>
    <t>예배지정</t>
    <phoneticPr fontId="1" type="noConversion"/>
  </si>
  <si>
    <t>관리지정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</si>
</sst>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_-* #,##0_-;\-* #,##0_-;_-* &quot;-&quot;_-;_-@_-"/>
    <numFmt numFmtId="177" formatCode="#,##0_ ;[Red]\-#,##0\ "/>
    <numFmt numFmtId="178" formatCode="#,###"/>
    <numFmt numFmtId="179" formatCode="#,###_ ;[Red]\-#,###\ "/>
    <numFmt numFmtId="180" formatCode="0;[Red]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  <fill>
      <patternFill patternType="solid">
        <fgColor rgb="FFFFC000"/>
        <bgColor indexed="64"/>
      </patternFill>
    </fill>
  </fills>
  <borders count="37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>
      <alignment vertical="center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18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2" xfId="0" applyFont="1" applyFill="1" applyBorder="1" applyAlignment="1">
      <alignment horizontal="center" vertical="center"/>
    </xf>
    <xf numFmtId="0" fontId="11" fillId="11" borderId="3" xfId="0" applyFont="1" applyFill="1" applyBorder="1">
      <alignment vertical="center"/>
    </xf>
    <xf numFmtId="0" fontId="11" fillId="11" borderId="4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2" borderId="6" xfId="0" applyFont="1" applyFill="1" applyBorder="1">
      <alignment vertical="center"/>
    </xf>
    <xf numFmtId="0" fontId="11" fillId="12" borderId="4" xfId="0" applyFont="1" applyFill="1" applyBorder="1">
      <alignment vertical="center"/>
    </xf>
    <xf numFmtId="0" fontId="11" fillId="12" borderId="7" xfId="0" applyFont="1" applyFill="1" applyBorder="1">
      <alignment vertical="center"/>
    </xf>
    <xf numFmtId="0" fontId="11" fillId="13" borderId="3" xfId="0" applyFont="1" applyFill="1" applyBorder="1">
      <alignment vertical="center"/>
    </xf>
    <xf numFmtId="0" fontId="11" fillId="13" borderId="4" xfId="0" applyFont="1" applyFill="1" applyBorder="1">
      <alignment vertical="center"/>
    </xf>
    <xf numFmtId="0" fontId="11" fillId="13" borderId="5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178" fontId="8" fillId="6" borderId="14" xfId="0" applyNumberFormat="1" applyFont="1" applyFill="1" applyBorder="1" applyAlignment="1">
      <alignment horizontal="right" vertical="center"/>
    </xf>
    <xf numFmtId="179" fontId="8" fillId="3" borderId="15" xfId="0" applyNumberFormat="1" applyFont="1" applyFill="1" applyBorder="1" applyAlignment="1">
      <alignment horizontal="right" vertical="center"/>
    </xf>
    <xf numFmtId="178" fontId="8" fillId="6" borderId="16" xfId="0" applyNumberFormat="1" applyFont="1" applyFill="1" applyBorder="1" applyAlignment="1">
      <alignment horizontal="right" vertical="center"/>
    </xf>
    <xf numFmtId="179" fontId="8" fillId="3" borderId="1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49" fontId="7" fillId="0" borderId="0" xfId="0" applyNumberFormat="1" applyFont="1" applyFill="1" applyBorder="1" applyAlignment="1" applyProtection="1">
      <alignment vertical="center"/>
      <protection locked="0"/>
    </xf>
    <xf numFmtId="180" fontId="7" fillId="0" borderId="0" xfId="0" applyNumberFormat="1" applyFont="1" applyFill="1" applyBorder="1" applyAlignment="1" applyProtection="1">
      <alignment vertical="center"/>
      <protection locked="0"/>
    </xf>
    <xf numFmtId="49" fontId="7" fillId="0" borderId="0" xfId="0" applyNumberFormat="1" applyFont="1" applyFill="1" applyBorder="1" applyAlignment="1" applyProtection="1">
      <alignment horizontal="center" vertical="center"/>
      <protection locked="0"/>
    </xf>
    <xf numFmtId="180" fontId="7" fillId="0" borderId="0" xfId="0" applyNumberFormat="1" applyFont="1" applyFill="1" applyBorder="1" applyAlignment="1" applyProtection="1">
      <alignment horizontal="center" vertical="center"/>
      <protection locked="0"/>
    </xf>
    <xf numFmtId="176" fontId="7" fillId="0" borderId="0" xfId="1" applyFont="1" applyFill="1" applyBorder="1" applyAlignment="1" applyProtection="1">
      <alignment vertical="center"/>
      <protection locked="0"/>
    </xf>
    <xf numFmtId="176" fontId="7" fillId="0" borderId="0" xfId="1" applyFont="1" applyFill="1" applyBorder="1" applyAlignment="1" applyProtection="1">
      <alignment horizontal="center" vertical="center"/>
      <protection locked="0"/>
    </xf>
    <xf numFmtId="176" fontId="3" fillId="0" borderId="0" xfId="1" applyFont="1" applyFill="1" applyBorder="1" applyAlignment="1" applyProtection="1">
      <alignment horizontal="center" vertical="center"/>
      <protection locked="0"/>
    </xf>
    <xf numFmtId="176" fontId="0" fillId="0" borderId="0" xfId="1" applyFont="1">
      <alignment vertical="center"/>
    </xf>
    <xf numFmtId="0" fontId="9" fillId="8" borderId="0" xfId="0" applyFont="1" applyFill="1" applyBorder="1" applyAlignment="1">
      <alignment horizontal="center" vertical="center"/>
    </xf>
    <xf numFmtId="176" fontId="10" fillId="7" borderId="0" xfId="1" applyFont="1" applyFill="1" applyBorder="1" applyAlignment="1">
      <alignment horizontal="center" vertical="center"/>
    </xf>
    <xf numFmtId="0" fontId="10" fillId="9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49" fontId="3" fillId="14" borderId="16" xfId="0" applyNumberFormat="1" applyFont="1" applyFill="1" applyBorder="1" applyAlignment="1" applyProtection="1">
      <alignment horizontal="center" vertical="center"/>
      <protection locked="0"/>
    </xf>
    <xf numFmtId="176" fontId="7" fillId="0" borderId="16" xfId="1" applyFont="1" applyFill="1" applyBorder="1" applyAlignment="1" applyProtection="1">
      <alignment vertical="center"/>
      <protection locked="0"/>
    </xf>
    <xf numFmtId="0" fontId="0" fillId="2" borderId="16" xfId="0" applyFill="1" applyBorder="1" applyAlignment="1">
      <alignment horizontal="center" vertical="center"/>
    </xf>
    <xf numFmtId="49" fontId="7" fillId="0" borderId="16" xfId="0" applyNumberFormat="1" applyFont="1" applyFill="1" applyBorder="1" applyAlignment="1" applyProtection="1">
      <alignment vertical="center"/>
      <protection locked="0"/>
    </xf>
    <xf numFmtId="176" fontId="8" fillId="0" borderId="16" xfId="1" applyFont="1" applyBorder="1" applyProtection="1">
      <alignment vertical="center"/>
      <protection locked="0"/>
    </xf>
    <xf numFmtId="177" fontId="13" fillId="10" borderId="23" xfId="0" applyNumberFormat="1" applyFont="1" applyFill="1" applyBorder="1" applyAlignment="1" applyProtection="1">
      <alignment vertical="center"/>
      <protection locked="0"/>
    </xf>
    <xf numFmtId="177" fontId="14" fillId="11" borderId="29" xfId="0" applyNumberFormat="1" applyFont="1" applyFill="1" applyBorder="1" applyAlignment="1" applyProtection="1">
      <alignment vertical="center"/>
      <protection locked="0"/>
    </xf>
    <xf numFmtId="177" fontId="14" fillId="11" borderId="30" xfId="0" applyNumberFormat="1" applyFont="1" applyFill="1" applyBorder="1" applyAlignment="1" applyProtection="1">
      <alignment vertical="center"/>
      <protection locked="0"/>
    </xf>
    <xf numFmtId="177" fontId="14" fillId="11" borderId="21" xfId="0" applyNumberFormat="1" applyFont="1" applyFill="1" applyBorder="1" applyAlignment="1" applyProtection="1">
      <alignment vertical="center"/>
      <protection locked="0"/>
    </xf>
    <xf numFmtId="177" fontId="14" fillId="12" borderId="31" xfId="0" applyNumberFormat="1" applyFont="1" applyFill="1" applyBorder="1" applyAlignment="1" applyProtection="1">
      <alignment vertical="center"/>
      <protection locked="0"/>
    </xf>
    <xf numFmtId="177" fontId="14" fillId="12" borderId="30" xfId="0" applyNumberFormat="1" applyFont="1" applyFill="1" applyBorder="1" applyAlignment="1" applyProtection="1">
      <alignment vertical="center"/>
      <protection locked="0"/>
    </xf>
    <xf numFmtId="177" fontId="14" fillId="12" borderId="32" xfId="0" applyNumberFormat="1" applyFont="1" applyFill="1" applyBorder="1" applyAlignment="1" applyProtection="1">
      <alignment vertical="center"/>
      <protection locked="0"/>
    </xf>
    <xf numFmtId="177" fontId="14" fillId="13" borderId="29" xfId="0" applyNumberFormat="1" applyFont="1" applyFill="1" applyBorder="1" applyAlignment="1" applyProtection="1">
      <alignment vertical="center"/>
      <protection locked="0"/>
    </xf>
    <xf numFmtId="177" fontId="14" fillId="13" borderId="30" xfId="0" applyNumberFormat="1" applyFont="1" applyFill="1" applyBorder="1" applyAlignment="1" applyProtection="1">
      <alignment vertical="center"/>
      <protection locked="0"/>
    </xf>
    <xf numFmtId="177" fontId="14" fillId="13" borderId="32" xfId="0" applyNumberFormat="1" applyFont="1" applyFill="1" applyBorder="1" applyAlignment="1" applyProtection="1">
      <alignment vertical="center"/>
      <protection locked="0"/>
    </xf>
    <xf numFmtId="177" fontId="13" fillId="10" borderId="22" xfId="0" applyNumberFormat="1" applyFont="1" applyFill="1" applyBorder="1" applyAlignment="1" applyProtection="1">
      <alignment vertical="center"/>
      <protection locked="0"/>
    </xf>
    <xf numFmtId="177" fontId="14" fillId="11" borderId="24" xfId="0" applyNumberFormat="1" applyFont="1" applyFill="1" applyBorder="1" applyAlignment="1" applyProtection="1">
      <alignment vertical="center"/>
      <protection locked="0"/>
    </xf>
    <xf numFmtId="177" fontId="14" fillId="11" borderId="25" xfId="0" applyNumberFormat="1" applyFont="1" applyFill="1" applyBorder="1" applyAlignment="1" applyProtection="1">
      <alignment vertical="center"/>
      <protection locked="0"/>
    </xf>
    <xf numFmtId="177" fontId="14" fillId="11" borderId="26" xfId="0" applyNumberFormat="1" applyFont="1" applyFill="1" applyBorder="1" applyAlignment="1" applyProtection="1">
      <alignment vertical="center"/>
      <protection locked="0"/>
    </xf>
    <xf numFmtId="177" fontId="14" fillId="12" borderId="27" xfId="0" applyNumberFormat="1" applyFont="1" applyFill="1" applyBorder="1" applyAlignment="1" applyProtection="1">
      <alignment vertical="center"/>
      <protection locked="0"/>
    </xf>
    <xf numFmtId="177" fontId="14" fillId="12" borderId="25" xfId="0" applyNumberFormat="1" applyFont="1" applyFill="1" applyBorder="1" applyAlignment="1" applyProtection="1">
      <alignment vertical="center"/>
      <protection locked="0"/>
    </xf>
    <xf numFmtId="177" fontId="14" fillId="12" borderId="28" xfId="0" applyNumberFormat="1" applyFont="1" applyFill="1" applyBorder="1" applyAlignment="1" applyProtection="1">
      <alignment vertical="center"/>
      <protection locked="0"/>
    </xf>
    <xf numFmtId="177" fontId="14" fillId="13" borderId="24" xfId="0" applyNumberFormat="1" applyFont="1" applyFill="1" applyBorder="1" applyAlignment="1" applyProtection="1">
      <alignment vertical="center"/>
      <protection locked="0"/>
    </xf>
    <xf numFmtId="177" fontId="14" fillId="13" borderId="25" xfId="0" applyNumberFormat="1" applyFont="1" applyFill="1" applyBorder="1" applyAlignment="1" applyProtection="1">
      <alignment vertical="center"/>
      <protection locked="0"/>
    </xf>
    <xf numFmtId="177" fontId="14" fillId="13" borderId="28" xfId="0" applyNumberFormat="1" applyFont="1" applyFill="1" applyBorder="1" applyAlignment="1" applyProtection="1">
      <alignment vertical="center"/>
      <protection locked="0"/>
    </xf>
    <xf numFmtId="0" fontId="8" fillId="0" borderId="16" xfId="0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8" fillId="0" borderId="0" xfId="0" applyFont="1" applyBorder="1" applyProtection="1">
      <alignment vertical="center"/>
      <protection locked="0"/>
    </xf>
    <xf numFmtId="0" fontId="9" fillId="8" borderId="34" xfId="0" applyFont="1" applyFill="1" applyBorder="1" applyAlignment="1">
      <alignment horizontal="center" vertical="center"/>
    </xf>
    <xf numFmtId="176" fontId="10" fillId="0" borderId="16" xfId="1" applyFont="1" applyFill="1" applyBorder="1" applyAlignment="1" applyProtection="1">
      <alignment horizontal="center" vertical="center"/>
      <protection locked="0"/>
    </xf>
    <xf numFmtId="0" fontId="10" fillId="9" borderId="34" xfId="0" applyFont="1" applyFill="1" applyBorder="1" applyAlignment="1">
      <alignment horizontal="center" vertical="center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176" fontId="10" fillId="7" borderId="33" xfId="1" applyFont="1" applyFill="1" applyBorder="1" applyAlignment="1">
      <alignment horizontal="center" vertical="center"/>
    </xf>
    <xf numFmtId="0" fontId="10" fillId="9" borderId="33" xfId="0" applyFont="1" applyFill="1" applyBorder="1" applyAlignment="1">
      <alignment horizontal="center" vertical="center"/>
    </xf>
    <xf numFmtId="0" fontId="10" fillId="5" borderId="33" xfId="0" applyFont="1" applyFill="1" applyBorder="1" applyAlignment="1">
      <alignment horizontal="center" vertical="center"/>
    </xf>
    <xf numFmtId="176" fontId="10" fillId="7" borderId="36" xfId="1" applyFont="1" applyFill="1" applyBorder="1" applyAlignment="1">
      <alignment horizontal="center" vertical="center"/>
    </xf>
    <xf numFmtId="0" fontId="10" fillId="5" borderId="36" xfId="0" applyFont="1" applyFill="1" applyBorder="1" applyAlignment="1">
      <alignment horizontal="center" vertical="center"/>
    </xf>
    <xf numFmtId="177" fontId="7" fillId="4" borderId="10" xfId="0" applyNumberFormat="1" applyFont="1" applyFill="1" applyBorder="1" applyAlignment="1" applyProtection="1">
      <alignment horizontal="center" vertical="center"/>
    </xf>
    <xf numFmtId="177" fontId="7" fillId="4" borderId="9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19" xfId="0" applyFont="1" applyFill="1" applyBorder="1" applyAlignment="1">
      <alignment horizontal="center" vertical="center"/>
    </xf>
    <xf numFmtId="0" fontId="11" fillId="10" borderId="2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 vertical="center"/>
    </xf>
    <xf numFmtId="0" fontId="11" fillId="12" borderId="19" xfId="0" applyFont="1" applyFill="1" applyBorder="1" applyAlignment="1">
      <alignment horizontal="center" vertical="center"/>
    </xf>
    <xf numFmtId="0" fontId="11" fillId="12" borderId="20" xfId="0" applyFont="1" applyFill="1" applyBorder="1" applyAlignment="1">
      <alignment horizontal="center" vertical="center"/>
    </xf>
    <xf numFmtId="0" fontId="11" fillId="13" borderId="18" xfId="0" applyFont="1" applyFill="1" applyBorder="1" applyAlignment="1">
      <alignment horizontal="center" vertical="center"/>
    </xf>
    <xf numFmtId="0" fontId="11" fillId="13" borderId="19" xfId="0" applyFont="1" applyFill="1" applyBorder="1" applyAlignment="1">
      <alignment horizontal="center" vertical="center"/>
    </xf>
    <xf numFmtId="0" fontId="11" fillId="13" borderId="20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176" fontId="10" fillId="7" borderId="35" xfId="1" applyFont="1" applyFill="1" applyBorder="1" applyAlignment="1">
      <alignment horizontal="center" vertical="center"/>
    </xf>
    <xf numFmtId="0" fontId="10" fillId="9" borderId="35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176" fontId="10" fillId="7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176" fontId="10" fillId="7" borderId="9" xfId="1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9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47625</xdr:colOff>
      <xdr:row>0</xdr:row>
      <xdr:rowOff>28575</xdr:rowOff>
    </xdr:from>
    <xdr:to>
      <xdr:col>19</xdr:col>
      <xdr:colOff>704850</xdr:colOff>
      <xdr:row>2</xdr:row>
      <xdr:rowOff>0</xdr:rowOff>
    </xdr:to>
    <xdr:sp macro="[0]!초기화" textlink="">
      <xdr:nvSpPr>
        <xdr:cNvPr id="2" name="직사각형 1">
          <a:extLst>
            <a:ext uri="{FF2B5EF4-FFF2-40B4-BE49-F238E27FC236}">
              <a16:creationId xmlns="" xmlns:a16="http://schemas.microsoft.com/office/drawing/2014/main" id="{6C4A32B5-482C-4DCD-A216-AC69C2B47A35}"/>
            </a:ext>
          </a:extLst>
        </xdr:cNvPr>
        <xdr:cNvSpPr/>
      </xdr:nvSpPr>
      <xdr:spPr>
        <a:xfrm>
          <a:off x="8124825" y="28575"/>
          <a:ext cx="1514475" cy="3905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기타헌금내용초기화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14"/>
  <sheetViews>
    <sheetView workbookViewId="0">
      <selection activeCell="H27" sqref="H27"/>
    </sheetView>
  </sheetViews>
  <sheetFormatPr defaultRowHeight="16.5"/>
  <cols>
    <col min="1" max="1" width="13.5" style="28" customWidth="1"/>
    <col min="2" max="2" width="12.625" customWidth="1"/>
    <col min="3" max="3" width="5" customWidth="1"/>
    <col min="6" max="18" width="4.375" customWidth="1"/>
    <col min="19" max="19" width="11.25" customWidth="1"/>
    <col min="20" max="20" width="9.75" bestFit="1" customWidth="1"/>
  </cols>
  <sheetData>
    <row r="1" spans="1:20" s="9" customFormat="1">
      <c r="A1" s="28"/>
    </row>
    <row r="2" spans="1:20">
      <c r="A2" s="10"/>
      <c r="B2" s="33"/>
      <c r="D2" s="73" t="s">
        <v>435</v>
      </c>
      <c r="E2" s="74"/>
      <c r="F2" s="75">
        <f>SUM(B7:B12)</f>
        <v>0</v>
      </c>
      <c r="G2" s="75"/>
      <c r="H2" s="75"/>
      <c r="I2" s="76"/>
      <c r="J2" s="76"/>
      <c r="K2" s="77"/>
      <c r="L2" s="77"/>
    </row>
    <row r="3" spans="1:20">
      <c r="A3" s="10"/>
      <c r="B3" s="33"/>
      <c r="D3" s="69" t="s">
        <v>436</v>
      </c>
      <c r="E3" s="69"/>
      <c r="F3" s="78">
        <f>B13</f>
        <v>0</v>
      </c>
      <c r="G3" s="78"/>
      <c r="H3" s="78"/>
      <c r="I3" s="71"/>
      <c r="J3" s="71"/>
      <c r="K3" s="79"/>
      <c r="L3" s="79"/>
    </row>
    <row r="4" spans="1:20" s="9" customFormat="1">
      <c r="A4" s="10"/>
      <c r="B4" s="33"/>
      <c r="D4" s="69" t="s">
        <v>434</v>
      </c>
      <c r="E4" s="69"/>
      <c r="F4" s="70"/>
      <c r="G4" s="70"/>
      <c r="H4" s="70"/>
      <c r="I4" s="71" t="s">
        <v>416</v>
      </c>
      <c r="J4" s="71"/>
      <c r="K4" s="72"/>
      <c r="L4" s="72"/>
    </row>
    <row r="5" spans="1:20" s="9" customFormat="1">
      <c r="A5" s="10"/>
      <c r="B5" s="33"/>
      <c r="D5" s="73" t="s">
        <v>437</v>
      </c>
      <c r="E5" s="74"/>
      <c r="F5" s="70"/>
      <c r="G5" s="70"/>
      <c r="H5" s="70"/>
      <c r="I5" s="76" t="s">
        <v>416</v>
      </c>
      <c r="J5" s="76"/>
      <c r="K5" s="72"/>
      <c r="L5" s="72"/>
    </row>
    <row r="6" spans="1:20" s="9" customFormat="1" ht="17.25" thickBot="1">
      <c r="A6" s="10"/>
      <c r="B6" s="33"/>
      <c r="D6" s="37"/>
      <c r="E6" s="37"/>
      <c r="F6" s="38"/>
      <c r="G6" s="38"/>
      <c r="H6" s="38"/>
      <c r="I6" s="39"/>
      <c r="J6" s="39"/>
      <c r="K6" s="40"/>
      <c r="L6" s="40"/>
    </row>
    <row r="7" spans="1:20" s="9" customFormat="1" ht="18" thickTop="1" thickBot="1">
      <c r="A7" s="41" t="s">
        <v>442</v>
      </c>
      <c r="B7" s="42"/>
      <c r="D7" s="5"/>
      <c r="E7" s="83" t="s">
        <v>430</v>
      </c>
      <c r="F7" s="84"/>
      <c r="G7" s="84"/>
      <c r="H7" s="84"/>
      <c r="I7" s="84"/>
      <c r="J7" s="85"/>
      <c r="K7" s="86" t="s">
        <v>431</v>
      </c>
      <c r="L7" s="87"/>
      <c r="M7" s="87"/>
      <c r="N7" s="88"/>
      <c r="O7" s="89" t="s">
        <v>432</v>
      </c>
      <c r="P7" s="90"/>
      <c r="Q7" s="90"/>
      <c r="R7" s="91"/>
      <c r="S7" s="6"/>
      <c r="T7" s="7"/>
    </row>
    <row r="8" spans="1:20" s="9" customFormat="1" ht="17.25" thickTop="1">
      <c r="A8" s="41" t="s">
        <v>443</v>
      </c>
      <c r="B8" s="42"/>
      <c r="D8" s="5"/>
      <c r="E8" s="12" t="s">
        <v>417</v>
      </c>
      <c r="F8" s="13" t="s">
        <v>418</v>
      </c>
      <c r="G8" s="13" t="s">
        <v>419</v>
      </c>
      <c r="H8" s="14" t="s">
        <v>420</v>
      </c>
      <c r="I8" s="14" t="s">
        <v>421</v>
      </c>
      <c r="J8" s="15" t="s">
        <v>422</v>
      </c>
      <c r="K8" s="16" t="s">
        <v>423</v>
      </c>
      <c r="L8" s="17" t="s">
        <v>424</v>
      </c>
      <c r="M8" s="17" t="s">
        <v>425</v>
      </c>
      <c r="N8" s="18" t="s">
        <v>426</v>
      </c>
      <c r="O8" s="19" t="s">
        <v>427</v>
      </c>
      <c r="P8" s="20" t="s">
        <v>428</v>
      </c>
      <c r="Q8" s="20" t="s">
        <v>420</v>
      </c>
      <c r="R8" s="21" t="s">
        <v>429</v>
      </c>
      <c r="S8" s="6" t="s">
        <v>414</v>
      </c>
      <c r="T8" s="7" t="s">
        <v>415</v>
      </c>
    </row>
    <row r="9" spans="1:20" s="9" customFormat="1">
      <c r="A9" s="41" t="s">
        <v>444</v>
      </c>
      <c r="B9" s="42"/>
      <c r="D9" s="23" t="s">
        <v>448</v>
      </c>
      <c r="E9" s="46"/>
      <c r="F9" s="47"/>
      <c r="G9" s="48"/>
      <c r="H9" s="48"/>
      <c r="I9" s="48"/>
      <c r="J9" s="49"/>
      <c r="K9" s="50"/>
      <c r="L9" s="51"/>
      <c r="M9" s="51"/>
      <c r="N9" s="52"/>
      <c r="O9" s="53"/>
      <c r="P9" s="54"/>
      <c r="Q9" s="54"/>
      <c r="R9" s="55"/>
      <c r="S9" s="26">
        <f t="shared" ref="S9" si="0">E9+F9*2000000+G9*1000000+H9*500000+I9*300000+J9*100000+K9*50000+L9*10000+M9*5000+N9*1000+O9*500+P9*100+Q9*50+R9*10</f>
        <v>0</v>
      </c>
      <c r="T9" s="27">
        <f>S9-F2</f>
        <v>0</v>
      </c>
    </row>
    <row r="10" spans="1:20" s="9" customFormat="1">
      <c r="A10" s="41" t="s">
        <v>446</v>
      </c>
      <c r="B10" s="42"/>
      <c r="D10" s="23" t="s">
        <v>449</v>
      </c>
      <c r="E10" s="56"/>
      <c r="F10" s="57"/>
      <c r="G10" s="58"/>
      <c r="H10" s="58"/>
      <c r="I10" s="58"/>
      <c r="J10" s="59"/>
      <c r="K10" s="60"/>
      <c r="L10" s="61"/>
      <c r="M10" s="61"/>
      <c r="N10" s="62"/>
      <c r="O10" s="63"/>
      <c r="P10" s="64"/>
      <c r="Q10" s="64"/>
      <c r="R10" s="65"/>
      <c r="S10" s="26">
        <f t="shared" ref="S10:S12" si="1">E10+F10*2000000+G10*1000000+H10*500000+I10*300000+J10*100000+K10*50000+L10*10000+M10*5000+N10*1000+O10*500+P10*100+Q10*50+R10*10</f>
        <v>0</v>
      </c>
      <c r="T10" s="27">
        <f>S10-F3</f>
        <v>0</v>
      </c>
    </row>
    <row r="11" spans="1:20" s="9" customFormat="1">
      <c r="A11" s="41" t="s">
        <v>445</v>
      </c>
      <c r="B11" s="42"/>
      <c r="D11" s="23" t="s">
        <v>439</v>
      </c>
      <c r="E11" s="56"/>
      <c r="F11" s="57"/>
      <c r="G11" s="58"/>
      <c r="H11" s="58"/>
      <c r="I11" s="58"/>
      <c r="J11" s="59"/>
      <c r="K11" s="60"/>
      <c r="L11" s="61"/>
      <c r="M11" s="61"/>
      <c r="N11" s="62"/>
      <c r="O11" s="63"/>
      <c r="P11" s="64"/>
      <c r="Q11" s="64"/>
      <c r="R11" s="65"/>
      <c r="S11" s="26">
        <f t="shared" si="1"/>
        <v>0</v>
      </c>
      <c r="T11" s="27">
        <f>S11-F4</f>
        <v>0</v>
      </c>
    </row>
    <row r="12" spans="1:20" s="9" customFormat="1">
      <c r="A12" s="41" t="s">
        <v>447</v>
      </c>
      <c r="B12" s="45"/>
      <c r="D12" s="23" t="s">
        <v>440</v>
      </c>
      <c r="E12" s="56"/>
      <c r="F12" s="57"/>
      <c r="G12" s="58"/>
      <c r="H12" s="58"/>
      <c r="I12" s="58"/>
      <c r="J12" s="59"/>
      <c r="K12" s="60"/>
      <c r="L12" s="61"/>
      <c r="M12" s="61"/>
      <c r="N12" s="62"/>
      <c r="O12" s="63"/>
      <c r="P12" s="64"/>
      <c r="Q12" s="64"/>
      <c r="R12" s="65"/>
      <c r="S12" s="26">
        <f t="shared" si="1"/>
        <v>0</v>
      </c>
      <c r="T12" s="27">
        <f>S12-F5</f>
        <v>0</v>
      </c>
    </row>
    <row r="13" spans="1:20" s="9" customFormat="1" ht="17.25" thickBot="1">
      <c r="A13" s="41" t="s">
        <v>441</v>
      </c>
      <c r="B13" s="45"/>
      <c r="D13" s="22"/>
      <c r="E13" s="80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2"/>
      <c r="S13" s="24"/>
      <c r="T13" s="25"/>
    </row>
    <row r="14" spans="1:20" ht="17.25" thickTop="1"/>
  </sheetData>
  <sheetProtection password="CFDC" sheet="1" objects="1" scenarios="1"/>
  <mergeCells count="20">
    <mergeCell ref="D5:E5"/>
    <mergeCell ref="F5:H5"/>
    <mergeCell ref="I5:J5"/>
    <mergeCell ref="K5:L5"/>
    <mergeCell ref="E13:R13"/>
    <mergeCell ref="E7:J7"/>
    <mergeCell ref="K7:N7"/>
    <mergeCell ref="O7:R7"/>
    <mergeCell ref="D4:E4"/>
    <mergeCell ref="F4:H4"/>
    <mergeCell ref="I4:J4"/>
    <mergeCell ref="K4:L4"/>
    <mergeCell ref="D2:E2"/>
    <mergeCell ref="F2:H2"/>
    <mergeCell ref="I2:J2"/>
    <mergeCell ref="K2:L2"/>
    <mergeCell ref="D3:E3"/>
    <mergeCell ref="F3:H3"/>
    <mergeCell ref="I3:J3"/>
    <mergeCell ref="K3:L3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M46"/>
  <sheetViews>
    <sheetView workbookViewId="0">
      <selection sqref="A1:XFD1048576"/>
    </sheetView>
  </sheetViews>
  <sheetFormatPr defaultRowHeight="16.5"/>
  <cols>
    <col min="1" max="2" width="13.5" style="9" customWidth="1"/>
    <col min="3" max="3" width="10.25" style="36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13">
      <c r="A1" s="43" t="s">
        <v>463</v>
      </c>
      <c r="B1" s="43" t="s">
        <v>102</v>
      </c>
      <c r="C1" s="8" t="s">
        <v>103</v>
      </c>
    </row>
    <row r="2" spans="1:13">
      <c r="A2" s="44"/>
      <c r="B2" s="44"/>
      <c r="C2" s="42">
        <v>450</v>
      </c>
      <c r="E2" s="73" t="s">
        <v>462</v>
      </c>
      <c r="F2" s="74"/>
      <c r="G2" s="75">
        <f>SUM(C2:C997)*1000</f>
        <v>480000</v>
      </c>
      <c r="H2" s="75"/>
      <c r="I2" s="75"/>
      <c r="J2" s="76" t="s">
        <v>416</v>
      </c>
      <c r="K2" s="76"/>
      <c r="L2" s="77">
        <f>COUNTIF(C2:C997,"&gt;0")</f>
        <v>3</v>
      </c>
      <c r="M2" s="77"/>
    </row>
    <row r="3" spans="1:13" ht="17.25" thickBot="1">
      <c r="A3" s="66"/>
      <c r="B3" s="66"/>
      <c r="C3" s="45">
        <v>10</v>
      </c>
      <c r="E3" s="92"/>
      <c r="F3" s="92"/>
      <c r="G3" s="93"/>
      <c r="H3" s="93"/>
      <c r="I3" s="93"/>
      <c r="J3" s="94"/>
      <c r="K3" s="94"/>
      <c r="L3" s="95"/>
      <c r="M3" s="95"/>
    </row>
    <row r="4" spans="1:13" ht="17.25" thickTop="1">
      <c r="A4" s="44"/>
      <c r="B4" s="44"/>
      <c r="C4" s="42">
        <v>20</v>
      </c>
    </row>
    <row r="5" spans="1:13">
      <c r="A5" s="44"/>
      <c r="B5" s="44"/>
      <c r="C5" s="42"/>
    </row>
    <row r="6" spans="1:13">
      <c r="A6" s="44"/>
      <c r="B6" s="44"/>
      <c r="C6" s="42"/>
    </row>
    <row r="7" spans="1:13">
      <c r="A7" s="44"/>
      <c r="B7" s="44"/>
      <c r="C7" s="42"/>
    </row>
    <row r="8" spans="1:13">
      <c r="A8" s="44"/>
      <c r="B8" s="44"/>
      <c r="C8" s="42"/>
    </row>
    <row r="9" spans="1:13">
      <c r="A9" s="44"/>
      <c r="B9" s="44"/>
      <c r="C9" s="42"/>
    </row>
    <row r="10" spans="1:13">
      <c r="A10" s="44"/>
      <c r="B10" s="44"/>
      <c r="C10" s="42"/>
    </row>
    <row r="11" spans="1:13">
      <c r="A11" s="44"/>
      <c r="B11" s="44"/>
      <c r="C11" s="42"/>
    </row>
    <row r="12" spans="1:13">
      <c r="A12" s="44"/>
      <c r="B12" s="44"/>
      <c r="C12" s="42"/>
    </row>
    <row r="13" spans="1:13">
      <c r="A13" s="44"/>
      <c r="B13" s="44"/>
      <c r="C13" s="42"/>
    </row>
    <row r="14" spans="1:13">
      <c r="A14" s="44"/>
      <c r="B14" s="44"/>
      <c r="C14" s="42"/>
    </row>
    <row r="15" spans="1:13">
      <c r="A15" s="44"/>
      <c r="B15" s="44"/>
      <c r="C15" s="42"/>
    </row>
    <row r="16" spans="1:13">
      <c r="A16" s="44"/>
      <c r="B16" s="44"/>
      <c r="C16" s="42"/>
    </row>
    <row r="17" spans="1:3">
      <c r="A17" s="44"/>
      <c r="B17" s="44"/>
      <c r="C17" s="42"/>
    </row>
    <row r="18" spans="1:3">
      <c r="A18" s="44"/>
      <c r="B18" s="44"/>
      <c r="C18" s="42"/>
    </row>
    <row r="19" spans="1:3">
      <c r="A19" s="44"/>
      <c r="B19" s="44"/>
      <c r="C19" s="42"/>
    </row>
    <row r="20" spans="1:3">
      <c r="A20" s="44"/>
      <c r="B20" s="44"/>
      <c r="C20" s="42"/>
    </row>
    <row r="21" spans="1:3">
      <c r="A21" s="44"/>
      <c r="B21" s="44"/>
      <c r="C21" s="42"/>
    </row>
    <row r="22" spans="1:3">
      <c r="A22" s="29"/>
      <c r="B22" s="29"/>
      <c r="C22" s="33"/>
    </row>
    <row r="23" spans="1:3">
      <c r="A23" s="29"/>
      <c r="B23" s="29"/>
      <c r="C23" s="33"/>
    </row>
    <row r="24" spans="1:3">
      <c r="A24" s="29"/>
      <c r="B24" s="29"/>
      <c r="C24" s="33"/>
    </row>
    <row r="25" spans="1:3">
      <c r="A25" s="31"/>
      <c r="B25" s="31"/>
      <c r="C25" s="34"/>
    </row>
    <row r="26" spans="1:3">
      <c r="A26" s="31"/>
      <c r="B26" s="31"/>
      <c r="C26" s="34"/>
    </row>
    <row r="27" spans="1:3">
      <c r="A27" s="31"/>
      <c r="B27" s="31"/>
      <c r="C27" s="34"/>
    </row>
    <row r="28" spans="1:3">
      <c r="A28" s="31"/>
      <c r="B28" s="31"/>
      <c r="C28" s="34"/>
    </row>
    <row r="29" spans="1:3">
      <c r="A29" s="31"/>
      <c r="B29" s="31"/>
      <c r="C29" s="34"/>
    </row>
    <row r="30" spans="1:3">
      <c r="A30" s="31"/>
      <c r="B30" s="31"/>
      <c r="C30" s="34"/>
    </row>
    <row r="31" spans="1:3">
      <c r="A31" s="31"/>
      <c r="B31" s="31"/>
      <c r="C31" s="34"/>
    </row>
    <row r="32" spans="1:3">
      <c r="A32" s="31"/>
      <c r="B32" s="31"/>
      <c r="C32" s="34"/>
    </row>
    <row r="33" spans="1:3">
      <c r="A33" s="31"/>
      <c r="B33" s="31"/>
      <c r="C33" s="34"/>
    </row>
    <row r="34" spans="1:3">
      <c r="A34" s="31"/>
      <c r="B34" s="31"/>
      <c r="C34" s="34"/>
    </row>
    <row r="35" spans="1:3">
      <c r="A35" s="31"/>
      <c r="B35" s="31"/>
      <c r="C35" s="34"/>
    </row>
    <row r="36" spans="1:3">
      <c r="A36" s="31"/>
      <c r="B36" s="31"/>
      <c r="C36" s="34"/>
    </row>
    <row r="37" spans="1:3">
      <c r="A37" s="31"/>
      <c r="B37" s="31"/>
      <c r="C37" s="34"/>
    </row>
    <row r="38" spans="1:3">
      <c r="A38" s="31"/>
      <c r="B38" s="31"/>
      <c r="C38" s="34"/>
    </row>
    <row r="39" spans="1:3">
      <c r="A39" s="10"/>
      <c r="B39" s="10"/>
      <c r="C39" s="35"/>
    </row>
    <row r="40" spans="1:3">
      <c r="A40" s="10"/>
      <c r="B40" s="10"/>
      <c r="C40" s="35"/>
    </row>
    <row r="41" spans="1:3">
      <c r="A41" s="10"/>
      <c r="B41" s="10"/>
      <c r="C41" s="35"/>
    </row>
    <row r="42" spans="1:3">
      <c r="A42" s="10"/>
      <c r="B42" s="10"/>
      <c r="C42" s="35"/>
    </row>
    <row r="43" spans="1:3">
      <c r="A43" s="10"/>
      <c r="B43" s="10"/>
      <c r="C43" s="35"/>
    </row>
    <row r="44" spans="1:3">
      <c r="A44" s="10"/>
      <c r="B44" s="10"/>
      <c r="C44" s="35"/>
    </row>
    <row r="45" spans="1:3">
      <c r="A45" s="10"/>
      <c r="B45" s="10"/>
      <c r="C45" s="35"/>
    </row>
    <row r="46" spans="1:3">
      <c r="A46" s="10"/>
      <c r="B46" s="10"/>
      <c r="C46" s="35"/>
    </row>
  </sheetData>
  <sheetProtection password="CFDC" sheet="1" objects="1" scenarios="1"/>
  <mergeCells count="8"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B2:B46">
    <cfRule type="expression" dxfId="18" priority="1">
      <formula>ISERROR(VLOOKUP(B2,성도목록,1,0))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T120"/>
  <sheetViews>
    <sheetView workbookViewId="0">
      <selection sqref="A1:XFD1048576"/>
    </sheetView>
  </sheetViews>
  <sheetFormatPr defaultRowHeight="16.5"/>
  <cols>
    <col min="1" max="1" width="13.5" customWidth="1"/>
    <col min="2" max="2" width="10.25" customWidth="1"/>
    <col min="3" max="3" width="5" customWidth="1"/>
    <col min="6" max="18" width="4.375" customWidth="1"/>
    <col min="19" max="19" width="11.25" customWidth="1"/>
  </cols>
  <sheetData>
    <row r="1" spans="1:20">
      <c r="A1" s="8" t="s">
        <v>102</v>
      </c>
      <c r="B1" s="8" t="s">
        <v>103</v>
      </c>
    </row>
    <row r="2" spans="1:20">
      <c r="A2" s="29"/>
      <c r="B2" s="30"/>
      <c r="D2" s="73" t="s">
        <v>433</v>
      </c>
      <c r="E2" s="74"/>
      <c r="F2" s="96">
        <f>SUM(B2:B1001)*1000</f>
        <v>0</v>
      </c>
      <c r="G2" s="96"/>
      <c r="H2" s="96"/>
      <c r="I2" s="76" t="s">
        <v>416</v>
      </c>
      <c r="J2" s="76"/>
      <c r="K2" s="97">
        <f>COUNTIF(B2:B1001,"&gt;0")</f>
        <v>0</v>
      </c>
      <c r="L2" s="97"/>
    </row>
    <row r="3" spans="1:20" s="9" customFormat="1" ht="17.25" thickBot="1">
      <c r="A3" s="29"/>
      <c r="B3" s="30"/>
      <c r="D3" s="92"/>
      <c r="E3" s="92"/>
      <c r="F3" s="98"/>
      <c r="G3" s="98"/>
      <c r="H3" s="98"/>
      <c r="I3" s="94"/>
      <c r="J3" s="94"/>
      <c r="K3" s="99"/>
      <c r="L3" s="99"/>
    </row>
    <row r="4" spans="1:20" s="9" customFormat="1" ht="18" thickTop="1" thickBot="1">
      <c r="A4" s="29"/>
      <c r="B4" s="30"/>
      <c r="D4" s="5"/>
      <c r="E4" s="83" t="s">
        <v>430</v>
      </c>
      <c r="F4" s="84"/>
      <c r="G4" s="84"/>
      <c r="H4" s="84"/>
      <c r="I4" s="84"/>
      <c r="J4" s="85"/>
      <c r="K4" s="86" t="s">
        <v>431</v>
      </c>
      <c r="L4" s="87"/>
      <c r="M4" s="87"/>
      <c r="N4" s="88"/>
      <c r="O4" s="89" t="s">
        <v>432</v>
      </c>
      <c r="P4" s="90"/>
      <c r="Q4" s="90"/>
      <c r="R4" s="91"/>
      <c r="S4" s="6"/>
      <c r="T4" s="7"/>
    </row>
    <row r="5" spans="1:20" ht="17.25" thickTop="1">
      <c r="A5" s="29"/>
      <c r="B5" s="30"/>
      <c r="D5" s="5"/>
      <c r="E5" s="12" t="s">
        <v>417</v>
      </c>
      <c r="F5" s="13" t="s">
        <v>418</v>
      </c>
      <c r="G5" s="13" t="s">
        <v>419</v>
      </c>
      <c r="H5" s="14" t="s">
        <v>420</v>
      </c>
      <c r="I5" s="14" t="s">
        <v>421</v>
      </c>
      <c r="J5" s="15" t="s">
        <v>422</v>
      </c>
      <c r="K5" s="16" t="s">
        <v>423</v>
      </c>
      <c r="L5" s="17" t="s">
        <v>424</v>
      </c>
      <c r="M5" s="17" t="s">
        <v>425</v>
      </c>
      <c r="N5" s="18" t="s">
        <v>426</v>
      </c>
      <c r="O5" s="19" t="s">
        <v>427</v>
      </c>
      <c r="P5" s="20" t="s">
        <v>428</v>
      </c>
      <c r="Q5" s="20" t="s">
        <v>420</v>
      </c>
      <c r="R5" s="21" t="s">
        <v>429</v>
      </c>
      <c r="S5" s="6" t="s">
        <v>414</v>
      </c>
      <c r="T5" s="7" t="s">
        <v>415</v>
      </c>
    </row>
    <row r="6" spans="1:20" s="9" customFormat="1">
      <c r="A6" s="67"/>
      <c r="B6" s="67"/>
      <c r="D6" s="23" t="s">
        <v>438</v>
      </c>
      <c r="E6" s="46"/>
      <c r="F6" s="47"/>
      <c r="G6" s="48"/>
      <c r="H6" s="48"/>
      <c r="I6" s="48"/>
      <c r="J6" s="49"/>
      <c r="K6" s="50"/>
      <c r="L6" s="51"/>
      <c r="M6" s="51"/>
      <c r="N6" s="52"/>
      <c r="O6" s="53"/>
      <c r="P6" s="54"/>
      <c r="Q6" s="54"/>
      <c r="R6" s="55"/>
      <c r="S6" s="26">
        <f t="shared" ref="S6" si="0">E6+F6*2000000+G6*1000000+H6*500000+I6*300000+J6*100000+K6*50000+L6*10000+M6*5000+N6*1000+O6*500+P6*100+Q6*50+R6*10</f>
        <v>0</v>
      </c>
      <c r="T6" s="27">
        <f>S6-F2</f>
        <v>0</v>
      </c>
    </row>
    <row r="7" spans="1:20" ht="17.25" thickBot="1">
      <c r="A7" s="29"/>
      <c r="B7" s="30"/>
      <c r="D7" s="22"/>
      <c r="E7" s="80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2"/>
      <c r="S7" s="24"/>
      <c r="T7" s="25"/>
    </row>
    <row r="8" spans="1:20" ht="17.25" thickTop="1">
      <c r="A8" s="29"/>
      <c r="B8" s="30"/>
    </row>
    <row r="9" spans="1:20">
      <c r="A9" s="29"/>
      <c r="B9" s="30"/>
    </row>
    <row r="10" spans="1:20">
      <c r="A10" s="29"/>
      <c r="B10" s="30"/>
    </row>
    <row r="11" spans="1:20">
      <c r="A11" s="29"/>
      <c r="B11" s="30"/>
    </row>
    <row r="12" spans="1:20">
      <c r="A12" s="29"/>
      <c r="B12" s="30"/>
    </row>
    <row r="13" spans="1:20">
      <c r="A13" s="29"/>
      <c r="B13" s="30"/>
    </row>
    <row r="14" spans="1:20">
      <c r="A14" s="29"/>
      <c r="B14" s="30"/>
    </row>
    <row r="15" spans="1:20">
      <c r="A15" s="29"/>
      <c r="B15" s="30"/>
    </row>
    <row r="16" spans="1:20">
      <c r="A16" s="29"/>
      <c r="B16" s="30"/>
    </row>
    <row r="17" spans="1:2">
      <c r="A17" s="29"/>
      <c r="B17" s="30"/>
    </row>
    <row r="18" spans="1:2">
      <c r="A18" s="29"/>
      <c r="B18" s="30"/>
    </row>
    <row r="19" spans="1:2">
      <c r="A19" s="29"/>
      <c r="B19" s="30"/>
    </row>
    <row r="20" spans="1:2">
      <c r="A20" s="29"/>
      <c r="B20" s="30"/>
    </row>
    <row r="21" spans="1:2">
      <c r="A21" s="29"/>
      <c r="B21" s="30"/>
    </row>
    <row r="22" spans="1:2">
      <c r="A22" s="29"/>
      <c r="B22" s="30"/>
    </row>
    <row r="23" spans="1:2">
      <c r="A23" s="29"/>
      <c r="B23" s="30"/>
    </row>
    <row r="24" spans="1:2">
      <c r="A24" s="29"/>
      <c r="B24" s="30"/>
    </row>
    <row r="25" spans="1:2">
      <c r="A25" s="29"/>
      <c r="B25" s="30"/>
    </row>
    <row r="26" spans="1:2">
      <c r="A26" s="29"/>
      <c r="B26" s="30"/>
    </row>
    <row r="27" spans="1:2">
      <c r="A27" s="29"/>
      <c r="B27" s="30"/>
    </row>
    <row r="28" spans="1:2">
      <c r="A28" s="29"/>
      <c r="B28" s="30"/>
    </row>
    <row r="29" spans="1:2">
      <c r="A29" s="31"/>
      <c r="B29" s="32"/>
    </row>
    <row r="30" spans="1:2">
      <c r="A30" s="31"/>
      <c r="B30" s="32"/>
    </row>
    <row r="31" spans="1:2">
      <c r="A31" s="31"/>
      <c r="B31" s="32"/>
    </row>
    <row r="32" spans="1:2">
      <c r="A32" s="31"/>
      <c r="B32" s="32"/>
    </row>
    <row r="33" spans="1:2">
      <c r="A33" s="31"/>
      <c r="B33" s="32"/>
    </row>
    <row r="34" spans="1:2">
      <c r="A34" s="31"/>
      <c r="B34" s="32"/>
    </row>
    <row r="35" spans="1:2">
      <c r="A35" s="31"/>
      <c r="B35" s="32"/>
    </row>
    <row r="36" spans="1:2">
      <c r="A36" s="31"/>
      <c r="B36" s="32"/>
    </row>
    <row r="37" spans="1:2">
      <c r="A37" s="31"/>
      <c r="B37" s="32"/>
    </row>
    <row r="38" spans="1:2">
      <c r="A38" s="31"/>
      <c r="B38" s="32"/>
    </row>
    <row r="39" spans="1:2">
      <c r="A39" s="31"/>
      <c r="B39" s="32"/>
    </row>
    <row r="40" spans="1:2">
      <c r="A40" s="31"/>
      <c r="B40" s="32"/>
    </row>
    <row r="41" spans="1:2">
      <c r="A41" s="31"/>
      <c r="B41" s="32"/>
    </row>
    <row r="42" spans="1:2">
      <c r="A42" s="31"/>
      <c r="B42" s="32"/>
    </row>
    <row r="43" spans="1:2">
      <c r="A43" s="31"/>
      <c r="B43" s="32"/>
    </row>
    <row r="44" spans="1:2">
      <c r="A44" s="31"/>
      <c r="B44" s="32"/>
    </row>
    <row r="45" spans="1:2">
      <c r="A45" s="10"/>
      <c r="B45" s="11"/>
    </row>
    <row r="46" spans="1:2">
      <c r="A46" s="10"/>
      <c r="B46" s="11"/>
    </row>
    <row r="47" spans="1:2">
      <c r="A47" s="10"/>
      <c r="B47" s="11"/>
    </row>
    <row r="48" spans="1:2">
      <c r="A48" s="10"/>
      <c r="B48" s="11"/>
    </row>
    <row r="49" spans="1:2">
      <c r="A49" s="10"/>
      <c r="B49" s="11"/>
    </row>
    <row r="50" spans="1:2">
      <c r="A50" s="10"/>
      <c r="B50" s="11"/>
    </row>
    <row r="51" spans="1:2">
      <c r="A51" s="67"/>
      <c r="B51" s="67"/>
    </row>
    <row r="52" spans="1:2">
      <c r="A52" s="67"/>
      <c r="B52" s="67"/>
    </row>
    <row r="53" spans="1:2">
      <c r="A53" s="67"/>
      <c r="B53" s="67"/>
    </row>
    <row r="54" spans="1:2">
      <c r="A54" s="67"/>
      <c r="B54" s="67"/>
    </row>
    <row r="55" spans="1:2">
      <c r="A55" s="67"/>
      <c r="B55" s="67"/>
    </row>
    <row r="56" spans="1:2">
      <c r="A56" s="67"/>
      <c r="B56" s="67"/>
    </row>
    <row r="57" spans="1:2">
      <c r="A57" s="67"/>
      <c r="B57" s="67"/>
    </row>
    <row r="58" spans="1:2">
      <c r="A58" s="67"/>
      <c r="B58" s="67"/>
    </row>
    <row r="59" spans="1:2">
      <c r="A59" s="67"/>
      <c r="B59" s="67"/>
    </row>
    <row r="60" spans="1:2">
      <c r="A60" s="67"/>
      <c r="B60" s="67"/>
    </row>
    <row r="61" spans="1:2">
      <c r="A61" s="67"/>
      <c r="B61" s="67"/>
    </row>
    <row r="62" spans="1:2">
      <c r="A62" s="67"/>
      <c r="B62" s="67"/>
    </row>
    <row r="63" spans="1:2">
      <c r="A63" s="67"/>
      <c r="B63" s="67"/>
    </row>
    <row r="64" spans="1:2">
      <c r="A64" s="67"/>
      <c r="B64" s="67"/>
    </row>
    <row r="65" spans="1:2">
      <c r="A65" s="67"/>
      <c r="B65" s="67"/>
    </row>
    <row r="66" spans="1:2">
      <c r="A66" s="67"/>
      <c r="B66" s="67"/>
    </row>
    <row r="67" spans="1:2">
      <c r="A67" s="67"/>
      <c r="B67" s="67"/>
    </row>
    <row r="68" spans="1:2">
      <c r="A68" s="67"/>
      <c r="B68" s="67"/>
    </row>
    <row r="69" spans="1:2">
      <c r="A69" s="67"/>
      <c r="B69" s="67"/>
    </row>
    <row r="70" spans="1:2">
      <c r="A70" s="67"/>
      <c r="B70" s="67"/>
    </row>
    <row r="71" spans="1:2">
      <c r="A71" s="67"/>
      <c r="B71" s="67"/>
    </row>
    <row r="72" spans="1:2">
      <c r="A72" s="67"/>
      <c r="B72" s="67"/>
    </row>
    <row r="73" spans="1:2">
      <c r="A73" s="67"/>
      <c r="B73" s="67"/>
    </row>
    <row r="74" spans="1:2">
      <c r="A74" s="67"/>
      <c r="B74" s="67"/>
    </row>
    <row r="75" spans="1:2">
      <c r="A75" s="67"/>
      <c r="B75" s="67"/>
    </row>
    <row r="76" spans="1:2">
      <c r="A76" s="67"/>
      <c r="B76" s="67"/>
    </row>
    <row r="77" spans="1:2">
      <c r="A77" s="67"/>
      <c r="B77" s="67"/>
    </row>
    <row r="78" spans="1:2">
      <c r="A78" s="67"/>
      <c r="B78" s="67"/>
    </row>
    <row r="79" spans="1:2">
      <c r="A79" s="67"/>
      <c r="B79" s="67"/>
    </row>
    <row r="80" spans="1:2">
      <c r="A80" s="67"/>
      <c r="B80" s="67"/>
    </row>
    <row r="81" spans="1:2">
      <c r="A81" s="67"/>
      <c r="B81" s="67"/>
    </row>
    <row r="82" spans="1:2">
      <c r="A82" s="67"/>
      <c r="B82" s="67"/>
    </row>
    <row r="83" spans="1:2">
      <c r="A83" s="67"/>
      <c r="B83" s="67"/>
    </row>
    <row r="84" spans="1:2">
      <c r="A84" s="67"/>
      <c r="B84" s="67"/>
    </row>
    <row r="85" spans="1:2">
      <c r="A85" s="67"/>
      <c r="B85" s="67"/>
    </row>
    <row r="86" spans="1:2">
      <c r="A86" s="67"/>
      <c r="B86" s="67"/>
    </row>
    <row r="87" spans="1:2">
      <c r="A87" s="67"/>
      <c r="B87" s="67"/>
    </row>
    <row r="88" spans="1:2">
      <c r="A88" s="67"/>
      <c r="B88" s="67"/>
    </row>
    <row r="89" spans="1:2">
      <c r="A89" s="67"/>
      <c r="B89" s="67"/>
    </row>
    <row r="90" spans="1:2">
      <c r="A90" s="67"/>
      <c r="B90" s="67"/>
    </row>
    <row r="91" spans="1:2">
      <c r="A91" s="67"/>
      <c r="B91" s="67"/>
    </row>
    <row r="92" spans="1:2">
      <c r="A92" s="67"/>
      <c r="B92" s="67"/>
    </row>
    <row r="93" spans="1:2">
      <c r="A93" s="67"/>
      <c r="B93" s="67"/>
    </row>
    <row r="94" spans="1:2">
      <c r="A94" s="67"/>
      <c r="B94" s="67"/>
    </row>
    <row r="95" spans="1:2">
      <c r="A95" s="67"/>
      <c r="B95" s="67"/>
    </row>
    <row r="96" spans="1:2">
      <c r="A96" s="67"/>
      <c r="B96" s="67"/>
    </row>
    <row r="97" spans="1:2">
      <c r="A97" s="67"/>
      <c r="B97" s="67"/>
    </row>
    <row r="98" spans="1:2">
      <c r="A98" s="67"/>
      <c r="B98" s="67"/>
    </row>
    <row r="99" spans="1:2">
      <c r="A99" s="67"/>
      <c r="B99" s="67"/>
    </row>
    <row r="100" spans="1:2">
      <c r="A100" s="67"/>
      <c r="B100" s="67"/>
    </row>
    <row r="101" spans="1:2">
      <c r="A101" s="67"/>
      <c r="B101" s="67"/>
    </row>
    <row r="102" spans="1:2">
      <c r="A102" s="67"/>
      <c r="B102" s="67"/>
    </row>
    <row r="103" spans="1:2">
      <c r="A103" s="67"/>
      <c r="B103" s="67"/>
    </row>
    <row r="104" spans="1:2">
      <c r="A104" s="67"/>
      <c r="B104" s="67"/>
    </row>
    <row r="105" spans="1:2">
      <c r="A105" s="67"/>
      <c r="B105" s="67"/>
    </row>
    <row r="106" spans="1:2">
      <c r="A106" s="67"/>
      <c r="B106" s="67"/>
    </row>
    <row r="107" spans="1:2">
      <c r="A107" s="67"/>
      <c r="B107" s="67"/>
    </row>
    <row r="108" spans="1:2">
      <c r="A108" s="67"/>
      <c r="B108" s="67"/>
    </row>
    <row r="109" spans="1:2">
      <c r="A109" s="67"/>
      <c r="B109" s="67"/>
    </row>
    <row r="110" spans="1:2">
      <c r="A110" s="67"/>
      <c r="B110" s="67"/>
    </row>
    <row r="111" spans="1:2">
      <c r="A111" s="67"/>
      <c r="B111" s="67"/>
    </row>
    <row r="112" spans="1:2">
      <c r="A112" s="67"/>
      <c r="B112" s="67"/>
    </row>
    <row r="113" spans="1:2">
      <c r="A113" s="67"/>
      <c r="B113" s="67"/>
    </row>
    <row r="114" spans="1:2">
      <c r="A114" s="67"/>
      <c r="B114" s="67"/>
    </row>
    <row r="115" spans="1:2">
      <c r="A115" s="67"/>
      <c r="B115" s="67"/>
    </row>
    <row r="116" spans="1:2">
      <c r="A116" s="67"/>
      <c r="B116" s="67"/>
    </row>
    <row r="117" spans="1:2">
      <c r="A117" s="67"/>
      <c r="B117" s="67"/>
    </row>
    <row r="118" spans="1:2">
      <c r="A118" s="67"/>
      <c r="B118" s="67"/>
    </row>
    <row r="119" spans="1:2">
      <c r="A119" s="67"/>
      <c r="B119" s="67"/>
    </row>
    <row r="120" spans="1:2">
      <c r="A120" s="67"/>
      <c r="B120" s="67"/>
    </row>
  </sheetData>
  <sheetProtection password="CFDC" sheet="1" objects="1" scenarios="1"/>
  <mergeCells count="12">
    <mergeCell ref="E7:R7"/>
    <mergeCell ref="O4:R4"/>
    <mergeCell ref="D2:E2"/>
    <mergeCell ref="F2:H2"/>
    <mergeCell ref="I2:J2"/>
    <mergeCell ref="K2:L2"/>
    <mergeCell ref="E4:J4"/>
    <mergeCell ref="K4:N4"/>
    <mergeCell ref="D3:E3"/>
    <mergeCell ref="F3:H3"/>
    <mergeCell ref="I3:J3"/>
    <mergeCell ref="K3:L3"/>
  </mergeCells>
  <phoneticPr fontId="1" type="noConversion"/>
  <conditionalFormatting sqref="A7:A196 A2:A5">
    <cfRule type="expression" dxfId="17" priority="4">
      <formula>ISERROR(VLOOKUP(A2,성도목록,1,0))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rgb="FF7030A0"/>
  </sheetPr>
  <dimension ref="A1:T50"/>
  <sheetViews>
    <sheetView workbookViewId="0">
      <selection activeCell="E11" sqref="E11"/>
    </sheetView>
  </sheetViews>
  <sheetFormatPr defaultRowHeight="16.5"/>
  <cols>
    <col min="1" max="1" width="13.5" style="9" customWidth="1"/>
    <col min="2" max="2" width="10.25" style="9" customWidth="1"/>
    <col min="3" max="3" width="5" style="9" customWidth="1"/>
    <col min="4" max="5" width="9" style="9"/>
    <col min="6" max="18" width="4.375" style="9" customWidth="1"/>
    <col min="19" max="19" width="11.25" style="9" customWidth="1"/>
    <col min="20" max="16384" width="9" style="9"/>
  </cols>
  <sheetData>
    <row r="1" spans="1:20">
      <c r="A1" s="8" t="s">
        <v>102</v>
      </c>
      <c r="B1" s="8" t="s">
        <v>103</v>
      </c>
    </row>
    <row r="2" spans="1:20">
      <c r="A2" s="29"/>
      <c r="B2" s="30"/>
      <c r="D2" s="73" t="s">
        <v>451</v>
      </c>
      <c r="E2" s="74"/>
      <c r="F2" s="75">
        <f>SUM(B2:B1001)*1000</f>
        <v>0</v>
      </c>
      <c r="G2" s="75"/>
      <c r="H2" s="75"/>
      <c r="I2" s="76" t="s">
        <v>416</v>
      </c>
      <c r="J2" s="76"/>
      <c r="K2" s="77">
        <f>COUNTIF(B2:B1001,"&gt;0")</f>
        <v>0</v>
      </c>
      <c r="L2" s="77"/>
    </row>
    <row r="3" spans="1:20" ht="17.25" thickBot="1">
      <c r="A3" s="68"/>
      <c r="B3" s="68"/>
      <c r="D3" s="92"/>
      <c r="E3" s="92"/>
      <c r="F3" s="93"/>
      <c r="G3" s="93"/>
      <c r="H3" s="93"/>
      <c r="I3" s="94"/>
      <c r="J3" s="94"/>
      <c r="K3" s="95"/>
      <c r="L3" s="95"/>
    </row>
    <row r="4" spans="1:20" ht="18" thickTop="1" thickBot="1">
      <c r="A4" s="29"/>
      <c r="B4" s="30"/>
      <c r="D4" s="5"/>
      <c r="E4" s="83" t="s">
        <v>430</v>
      </c>
      <c r="F4" s="84"/>
      <c r="G4" s="84"/>
      <c r="H4" s="84"/>
      <c r="I4" s="84"/>
      <c r="J4" s="85"/>
      <c r="K4" s="86" t="s">
        <v>431</v>
      </c>
      <c r="L4" s="87"/>
      <c r="M4" s="87"/>
      <c r="N4" s="88"/>
      <c r="O4" s="89" t="s">
        <v>432</v>
      </c>
      <c r="P4" s="90"/>
      <c r="Q4" s="90"/>
      <c r="R4" s="91"/>
      <c r="S4" s="6"/>
      <c r="T4" s="7"/>
    </row>
    <row r="5" spans="1:20" ht="17.25" thickTop="1">
      <c r="A5" s="29"/>
      <c r="B5" s="30"/>
      <c r="D5" s="5"/>
      <c r="E5" s="12" t="s">
        <v>417</v>
      </c>
      <c r="F5" s="13" t="s">
        <v>418</v>
      </c>
      <c r="G5" s="13" t="s">
        <v>419</v>
      </c>
      <c r="H5" s="14" t="s">
        <v>420</v>
      </c>
      <c r="I5" s="14" t="s">
        <v>421</v>
      </c>
      <c r="J5" s="15" t="s">
        <v>422</v>
      </c>
      <c r="K5" s="16" t="s">
        <v>423</v>
      </c>
      <c r="L5" s="17" t="s">
        <v>424</v>
      </c>
      <c r="M5" s="17" t="s">
        <v>425</v>
      </c>
      <c r="N5" s="18" t="s">
        <v>426</v>
      </c>
      <c r="O5" s="19" t="s">
        <v>427</v>
      </c>
      <c r="P5" s="20" t="s">
        <v>428</v>
      </c>
      <c r="Q5" s="20" t="s">
        <v>420</v>
      </c>
      <c r="R5" s="21" t="s">
        <v>429</v>
      </c>
      <c r="S5" s="6" t="s">
        <v>414</v>
      </c>
      <c r="T5" s="7" t="s">
        <v>415</v>
      </c>
    </row>
    <row r="6" spans="1:20">
      <c r="A6" s="29"/>
      <c r="B6" s="30"/>
      <c r="D6" s="23" t="s">
        <v>450</v>
      </c>
      <c r="E6" s="46"/>
      <c r="F6" s="47"/>
      <c r="G6" s="48"/>
      <c r="H6" s="48"/>
      <c r="I6" s="48"/>
      <c r="J6" s="49"/>
      <c r="K6" s="50"/>
      <c r="L6" s="51"/>
      <c r="M6" s="51"/>
      <c r="N6" s="52"/>
      <c r="O6" s="53"/>
      <c r="P6" s="54"/>
      <c r="Q6" s="54"/>
      <c r="R6" s="55"/>
      <c r="S6" s="26">
        <f t="shared" ref="S6" si="0">E6+F6*2000000+G6*1000000+H6*500000+I6*300000+J6*100000+K6*50000+L6*10000+M6*5000+N6*1000+O6*500+P6*100+Q6*50+R6*10</f>
        <v>0</v>
      </c>
      <c r="T6" s="27">
        <f>S6-F2</f>
        <v>0</v>
      </c>
    </row>
    <row r="7" spans="1:20" ht="17.25" thickBot="1">
      <c r="A7" s="29"/>
      <c r="B7" s="30"/>
      <c r="D7" s="22"/>
      <c r="E7" s="80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2"/>
      <c r="S7" s="24"/>
      <c r="T7" s="25"/>
    </row>
    <row r="8" spans="1:20" ht="17.25" thickTop="1">
      <c r="A8" s="29"/>
      <c r="B8" s="30"/>
    </row>
    <row r="9" spans="1:20">
      <c r="A9" s="29"/>
      <c r="B9" s="30"/>
    </row>
    <row r="10" spans="1:20">
      <c r="A10" s="29"/>
      <c r="B10" s="30"/>
    </row>
    <row r="11" spans="1:20">
      <c r="A11" s="29"/>
      <c r="B11" s="30"/>
    </row>
    <row r="12" spans="1:20">
      <c r="A12" s="29"/>
      <c r="B12" s="30"/>
    </row>
    <row r="13" spans="1:20">
      <c r="A13" s="29"/>
      <c r="B13" s="30"/>
    </row>
    <row r="14" spans="1:20">
      <c r="A14" s="29"/>
      <c r="B14" s="30"/>
    </row>
    <row r="15" spans="1:20">
      <c r="A15" s="29"/>
      <c r="B15" s="30"/>
    </row>
    <row r="16" spans="1:20">
      <c r="A16" s="29"/>
      <c r="B16" s="30"/>
    </row>
    <row r="17" spans="1:2">
      <c r="A17" s="29"/>
      <c r="B17" s="30"/>
    </row>
    <row r="18" spans="1:2">
      <c r="A18" s="29"/>
      <c r="B18" s="30"/>
    </row>
    <row r="19" spans="1:2">
      <c r="A19" s="29"/>
      <c r="B19" s="30"/>
    </row>
    <row r="20" spans="1:2">
      <c r="A20" s="29"/>
      <c r="B20" s="30"/>
    </row>
    <row r="21" spans="1:2">
      <c r="A21" s="29"/>
      <c r="B21" s="30"/>
    </row>
    <row r="22" spans="1:2">
      <c r="A22" s="29"/>
      <c r="B22" s="30"/>
    </row>
    <row r="23" spans="1:2">
      <c r="A23" s="29"/>
      <c r="B23" s="30"/>
    </row>
    <row r="24" spans="1:2">
      <c r="A24" s="29"/>
      <c r="B24" s="30"/>
    </row>
    <row r="25" spans="1:2">
      <c r="A25" s="29"/>
      <c r="B25" s="30"/>
    </row>
    <row r="26" spans="1:2">
      <c r="A26" s="29"/>
      <c r="B26" s="30"/>
    </row>
    <row r="27" spans="1:2">
      <c r="A27" s="29"/>
      <c r="B27" s="30"/>
    </row>
    <row r="28" spans="1:2">
      <c r="A28" s="29"/>
      <c r="B28" s="30"/>
    </row>
    <row r="29" spans="1:2">
      <c r="A29" s="31"/>
      <c r="B29" s="32"/>
    </row>
    <row r="30" spans="1:2">
      <c r="A30" s="31"/>
      <c r="B30" s="32"/>
    </row>
    <row r="31" spans="1:2">
      <c r="A31" s="31"/>
      <c r="B31" s="32"/>
    </row>
    <row r="32" spans="1:2">
      <c r="A32" s="10"/>
      <c r="B32" s="11"/>
    </row>
    <row r="33" spans="1:2">
      <c r="A33" s="10"/>
      <c r="B33" s="11"/>
    </row>
    <row r="34" spans="1:2">
      <c r="A34" s="10"/>
      <c r="B34" s="11"/>
    </row>
    <row r="35" spans="1:2">
      <c r="A35" s="10"/>
      <c r="B35" s="11"/>
    </row>
    <row r="36" spans="1:2">
      <c r="A36" s="10"/>
      <c r="B36" s="11"/>
    </row>
    <row r="37" spans="1:2">
      <c r="A37" s="10"/>
      <c r="B37" s="11"/>
    </row>
    <row r="38" spans="1:2">
      <c r="A38" s="10"/>
      <c r="B38" s="11"/>
    </row>
    <row r="39" spans="1:2">
      <c r="A39" s="10"/>
      <c r="B39" s="11"/>
    </row>
    <row r="40" spans="1:2">
      <c r="A40" s="10"/>
      <c r="B40" s="11"/>
    </row>
    <row r="41" spans="1:2">
      <c r="A41" s="10"/>
      <c r="B41" s="11"/>
    </row>
    <row r="42" spans="1:2">
      <c r="A42" s="10"/>
      <c r="B42" s="11"/>
    </row>
    <row r="43" spans="1:2">
      <c r="A43" s="10"/>
      <c r="B43" s="11"/>
    </row>
    <row r="44" spans="1:2">
      <c r="A44" s="10"/>
      <c r="B44" s="11"/>
    </row>
    <row r="45" spans="1:2">
      <c r="A45" s="10"/>
      <c r="B45" s="11"/>
    </row>
    <row r="46" spans="1:2">
      <c r="A46" s="10"/>
      <c r="B46" s="11"/>
    </row>
    <row r="47" spans="1:2">
      <c r="A47" s="10"/>
      <c r="B47" s="11"/>
    </row>
    <row r="48" spans="1:2">
      <c r="A48" s="10"/>
      <c r="B48" s="11"/>
    </row>
    <row r="49" spans="1:2">
      <c r="A49" s="10"/>
      <c r="B49" s="11"/>
    </row>
    <row r="50" spans="1:2">
      <c r="A50" s="10"/>
      <c r="B50" s="11"/>
    </row>
  </sheetData>
  <sheetProtection password="CFDC" sheet="1" objects="1" scenarios="1"/>
  <mergeCells count="12">
    <mergeCell ref="D2:E2"/>
    <mergeCell ref="F2:H2"/>
    <mergeCell ref="I2:J2"/>
    <mergeCell ref="K2:L2"/>
    <mergeCell ref="E4:J4"/>
    <mergeCell ref="K4:N4"/>
    <mergeCell ref="O4:R4"/>
    <mergeCell ref="E7:R7"/>
    <mergeCell ref="D3:E3"/>
    <mergeCell ref="F3:H3"/>
    <mergeCell ref="I3:J3"/>
    <mergeCell ref="K3:L3"/>
  </mergeCells>
  <phoneticPr fontId="1" type="noConversion"/>
  <conditionalFormatting sqref="A2:A50">
    <cfRule type="expression" dxfId="16" priority="1">
      <formula>ISERROR(VLOOKUP(A2,성도목록,1,0))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C00000"/>
  </sheetPr>
  <dimension ref="A1:U110"/>
  <sheetViews>
    <sheetView workbookViewId="0">
      <selection activeCell="I13" sqref="I13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455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464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  <row r="51" spans="1:3">
      <c r="A51" s="67"/>
      <c r="B51" s="67"/>
      <c r="C51" s="67"/>
    </row>
    <row r="52" spans="1:3">
      <c r="A52" s="67"/>
      <c r="B52" s="67"/>
      <c r="C52" s="67"/>
    </row>
    <row r="53" spans="1:3">
      <c r="A53" s="67"/>
      <c r="B53" s="67"/>
      <c r="C53" s="67"/>
    </row>
    <row r="54" spans="1:3">
      <c r="A54" s="67"/>
      <c r="B54" s="67"/>
      <c r="C54" s="67"/>
    </row>
    <row r="55" spans="1:3">
      <c r="A55" s="67"/>
      <c r="B55" s="67"/>
      <c r="C55" s="67"/>
    </row>
    <row r="56" spans="1:3">
      <c r="A56" s="67"/>
      <c r="B56" s="67"/>
      <c r="C56" s="67"/>
    </row>
    <row r="57" spans="1:3">
      <c r="A57" s="67"/>
      <c r="B57" s="67"/>
      <c r="C57" s="67"/>
    </row>
    <row r="58" spans="1:3">
      <c r="A58" s="67"/>
      <c r="B58" s="67"/>
      <c r="C58" s="67"/>
    </row>
    <row r="59" spans="1:3">
      <c r="A59" s="67"/>
      <c r="B59" s="67"/>
      <c r="C59" s="67"/>
    </row>
    <row r="60" spans="1:3">
      <c r="A60" s="67"/>
      <c r="B60" s="67"/>
      <c r="C60" s="67"/>
    </row>
    <row r="61" spans="1:3">
      <c r="A61" s="67"/>
      <c r="B61" s="67"/>
      <c r="C61" s="67"/>
    </row>
    <row r="62" spans="1:3">
      <c r="A62" s="67"/>
      <c r="B62" s="67"/>
      <c r="C62" s="67"/>
    </row>
    <row r="63" spans="1:3">
      <c r="A63" s="67"/>
      <c r="B63" s="67"/>
      <c r="C63" s="67"/>
    </row>
    <row r="64" spans="1:3">
      <c r="A64" s="67"/>
      <c r="B64" s="67"/>
      <c r="C64" s="67"/>
    </row>
    <row r="65" spans="1:3">
      <c r="A65" s="67"/>
      <c r="B65" s="67"/>
      <c r="C65" s="67"/>
    </row>
    <row r="66" spans="1:3">
      <c r="A66" s="67"/>
      <c r="B66" s="67"/>
      <c r="C66" s="67"/>
    </row>
    <row r="67" spans="1:3">
      <c r="A67" s="67"/>
      <c r="B67" s="67"/>
      <c r="C67" s="67"/>
    </row>
    <row r="68" spans="1:3">
      <c r="A68" s="67"/>
      <c r="B68" s="67"/>
      <c r="C68" s="67"/>
    </row>
    <row r="69" spans="1:3">
      <c r="A69" s="67"/>
      <c r="B69" s="67"/>
      <c r="C69" s="67"/>
    </row>
    <row r="70" spans="1:3">
      <c r="A70" s="67"/>
      <c r="B70" s="67"/>
      <c r="C70" s="67"/>
    </row>
    <row r="71" spans="1:3">
      <c r="A71" s="67"/>
      <c r="B71" s="67"/>
      <c r="C71" s="67"/>
    </row>
    <row r="72" spans="1:3">
      <c r="A72" s="67"/>
      <c r="B72" s="67"/>
      <c r="C72" s="67"/>
    </row>
    <row r="73" spans="1:3">
      <c r="A73" s="67"/>
      <c r="B73" s="67"/>
      <c r="C73" s="67"/>
    </row>
    <row r="74" spans="1:3">
      <c r="A74" s="67"/>
      <c r="B74" s="67"/>
      <c r="C74" s="67"/>
    </row>
    <row r="75" spans="1:3">
      <c r="A75" s="67"/>
      <c r="B75" s="67"/>
      <c r="C75" s="67"/>
    </row>
    <row r="76" spans="1:3">
      <c r="A76" s="67"/>
      <c r="B76" s="67"/>
      <c r="C76" s="67"/>
    </row>
    <row r="77" spans="1:3">
      <c r="A77" s="67"/>
      <c r="B77" s="67"/>
      <c r="C77" s="67"/>
    </row>
    <row r="78" spans="1:3">
      <c r="A78" s="67"/>
      <c r="B78" s="67"/>
      <c r="C78" s="67"/>
    </row>
    <row r="79" spans="1:3">
      <c r="A79" s="67"/>
      <c r="B79" s="67"/>
      <c r="C79" s="67"/>
    </row>
    <row r="80" spans="1:3">
      <c r="A80" s="67"/>
      <c r="B80" s="67"/>
      <c r="C80" s="67"/>
    </row>
    <row r="81" spans="1:3">
      <c r="A81" s="67"/>
      <c r="B81" s="67"/>
      <c r="C81" s="67"/>
    </row>
    <row r="82" spans="1:3">
      <c r="A82" s="67"/>
      <c r="B82" s="67"/>
      <c r="C82" s="67"/>
    </row>
    <row r="83" spans="1:3">
      <c r="A83" s="67"/>
      <c r="B83" s="67"/>
      <c r="C83" s="67"/>
    </row>
    <row r="84" spans="1:3">
      <c r="A84" s="67"/>
      <c r="B84" s="67"/>
      <c r="C84" s="67"/>
    </row>
    <row r="85" spans="1:3">
      <c r="A85" s="67"/>
      <c r="B85" s="67"/>
      <c r="C85" s="67"/>
    </row>
    <row r="86" spans="1:3">
      <c r="A86" s="67"/>
      <c r="B86" s="67"/>
      <c r="C86" s="67"/>
    </row>
    <row r="87" spans="1:3">
      <c r="A87" s="67"/>
      <c r="B87" s="67"/>
      <c r="C87" s="67"/>
    </row>
    <row r="88" spans="1:3">
      <c r="A88" s="67"/>
      <c r="B88" s="67"/>
      <c r="C88" s="67"/>
    </row>
    <row r="89" spans="1:3">
      <c r="A89" s="67"/>
      <c r="B89" s="67"/>
      <c r="C89" s="67"/>
    </row>
    <row r="90" spans="1:3">
      <c r="A90" s="67"/>
      <c r="B90" s="67"/>
      <c r="C90" s="67"/>
    </row>
    <row r="91" spans="1:3">
      <c r="A91" s="67"/>
      <c r="B91" s="67"/>
      <c r="C91" s="67"/>
    </row>
    <row r="92" spans="1:3">
      <c r="A92" s="67"/>
      <c r="B92" s="67"/>
      <c r="C92" s="67"/>
    </row>
    <row r="93" spans="1:3">
      <c r="A93" s="67"/>
      <c r="B93" s="67"/>
      <c r="C93" s="67"/>
    </row>
    <row r="94" spans="1:3">
      <c r="A94" s="67"/>
      <c r="B94" s="67"/>
      <c r="C94" s="67"/>
    </row>
    <row r="95" spans="1:3">
      <c r="A95" s="67"/>
      <c r="B95" s="67"/>
      <c r="C95" s="67"/>
    </row>
    <row r="96" spans="1:3">
      <c r="A96" s="67"/>
      <c r="B96" s="67"/>
      <c r="C96" s="67"/>
    </row>
    <row r="97" spans="1:3">
      <c r="A97" s="67"/>
      <c r="B97" s="67"/>
      <c r="C97" s="67"/>
    </row>
    <row r="98" spans="1:3">
      <c r="A98" s="67"/>
      <c r="B98" s="67"/>
      <c r="C98" s="67"/>
    </row>
    <row r="99" spans="1:3">
      <c r="A99" s="67"/>
      <c r="B99" s="67"/>
      <c r="C99" s="67"/>
    </row>
    <row r="100" spans="1:3">
      <c r="A100" s="67"/>
      <c r="B100" s="67"/>
      <c r="C100" s="67"/>
    </row>
    <row r="101" spans="1:3">
      <c r="A101" s="67"/>
      <c r="B101" s="67"/>
      <c r="C101" s="67"/>
    </row>
    <row r="102" spans="1:3">
      <c r="A102" s="67"/>
      <c r="B102" s="67"/>
      <c r="C102" s="67"/>
    </row>
    <row r="103" spans="1:3">
      <c r="A103" s="67"/>
      <c r="B103" s="67"/>
      <c r="C103" s="67"/>
    </row>
    <row r="104" spans="1:3">
      <c r="A104" s="67"/>
      <c r="B104" s="67"/>
      <c r="C104" s="67"/>
    </row>
    <row r="105" spans="1:3">
      <c r="A105" s="67"/>
      <c r="B105" s="67"/>
      <c r="C105" s="67"/>
    </row>
    <row r="106" spans="1:3">
      <c r="A106" s="67"/>
      <c r="B106" s="67"/>
      <c r="C106" s="67"/>
    </row>
    <row r="107" spans="1:3">
      <c r="A107" s="67"/>
      <c r="B107" s="67"/>
      <c r="C107" s="67"/>
    </row>
    <row r="108" spans="1:3">
      <c r="A108" s="67"/>
      <c r="B108" s="67"/>
      <c r="C108" s="67"/>
    </row>
    <row r="109" spans="1:3">
      <c r="A109" s="67"/>
      <c r="B109" s="67"/>
      <c r="C109" s="67"/>
    </row>
    <row r="110" spans="1:3">
      <c r="A110" s="67"/>
      <c r="B110" s="67"/>
      <c r="C110" s="67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15" priority="2">
      <formula>ISERROR(VLOOKUP(A2,성도목록,1,0))</formula>
    </cfRule>
  </conditionalFormatting>
  <conditionalFormatting sqref="A2:A32">
    <cfRule type="expression" dxfId="14" priority="1">
      <formula>ISERROR(VLOOKUP(A2,성도목록,1,0))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>
    <tabColor rgb="FFC00000"/>
  </sheetPr>
  <dimension ref="A1:U110"/>
  <sheetViews>
    <sheetView workbookViewId="0">
      <selection activeCell="A8" sqref="A8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459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465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  <row r="51" spans="1:3">
      <c r="A51" s="67"/>
      <c r="B51" s="67"/>
      <c r="C51" s="67"/>
    </row>
    <row r="52" spans="1:3">
      <c r="A52" s="67"/>
      <c r="B52" s="67"/>
      <c r="C52" s="67"/>
    </row>
    <row r="53" spans="1:3">
      <c r="A53" s="67"/>
      <c r="B53" s="67"/>
      <c r="C53" s="67"/>
    </row>
    <row r="54" spans="1:3">
      <c r="A54" s="67"/>
      <c r="B54" s="67"/>
      <c r="C54" s="67"/>
    </row>
    <row r="55" spans="1:3">
      <c r="A55" s="67"/>
      <c r="B55" s="67"/>
      <c r="C55" s="67"/>
    </row>
    <row r="56" spans="1:3">
      <c r="A56" s="67"/>
      <c r="B56" s="67"/>
      <c r="C56" s="67"/>
    </row>
    <row r="57" spans="1:3">
      <c r="A57" s="67"/>
      <c r="B57" s="67"/>
      <c r="C57" s="67"/>
    </row>
    <row r="58" spans="1:3">
      <c r="A58" s="67"/>
      <c r="B58" s="67"/>
      <c r="C58" s="67"/>
    </row>
    <row r="59" spans="1:3">
      <c r="A59" s="67"/>
      <c r="B59" s="67"/>
      <c r="C59" s="67"/>
    </row>
    <row r="60" spans="1:3">
      <c r="A60" s="67"/>
      <c r="B60" s="67"/>
      <c r="C60" s="67"/>
    </row>
    <row r="61" spans="1:3">
      <c r="A61" s="67"/>
      <c r="B61" s="67"/>
      <c r="C61" s="67"/>
    </row>
    <row r="62" spans="1:3">
      <c r="A62" s="67"/>
      <c r="B62" s="67"/>
      <c r="C62" s="67"/>
    </row>
    <row r="63" spans="1:3">
      <c r="A63" s="67"/>
      <c r="B63" s="67"/>
      <c r="C63" s="67"/>
    </row>
    <row r="64" spans="1:3">
      <c r="A64" s="67"/>
      <c r="B64" s="67"/>
      <c r="C64" s="67"/>
    </row>
    <row r="65" spans="1:3">
      <c r="A65" s="67"/>
      <c r="B65" s="67"/>
      <c r="C65" s="67"/>
    </row>
    <row r="66" spans="1:3">
      <c r="A66" s="67"/>
      <c r="B66" s="67"/>
      <c r="C66" s="67"/>
    </row>
    <row r="67" spans="1:3">
      <c r="A67" s="67"/>
      <c r="B67" s="67"/>
      <c r="C67" s="67"/>
    </row>
    <row r="68" spans="1:3">
      <c r="A68" s="67"/>
      <c r="B68" s="67"/>
      <c r="C68" s="67"/>
    </row>
    <row r="69" spans="1:3">
      <c r="A69" s="67"/>
      <c r="B69" s="67"/>
      <c r="C69" s="67"/>
    </row>
    <row r="70" spans="1:3">
      <c r="A70" s="67"/>
      <c r="B70" s="67"/>
      <c r="C70" s="67"/>
    </row>
    <row r="71" spans="1:3">
      <c r="A71" s="67"/>
      <c r="B71" s="67"/>
      <c r="C71" s="67"/>
    </row>
    <row r="72" spans="1:3">
      <c r="A72" s="67"/>
      <c r="B72" s="67"/>
      <c r="C72" s="67"/>
    </row>
    <row r="73" spans="1:3">
      <c r="A73" s="67"/>
      <c r="B73" s="67"/>
      <c r="C73" s="67"/>
    </row>
    <row r="74" spans="1:3">
      <c r="A74" s="67"/>
      <c r="B74" s="67"/>
      <c r="C74" s="67"/>
    </row>
    <row r="75" spans="1:3">
      <c r="A75" s="67"/>
      <c r="B75" s="67"/>
      <c r="C75" s="67"/>
    </row>
    <row r="76" spans="1:3">
      <c r="A76" s="67"/>
      <c r="B76" s="67"/>
      <c r="C76" s="67"/>
    </row>
    <row r="77" spans="1:3">
      <c r="A77" s="67"/>
      <c r="B77" s="67"/>
      <c r="C77" s="67"/>
    </row>
    <row r="78" spans="1:3">
      <c r="A78" s="67"/>
      <c r="B78" s="67"/>
      <c r="C78" s="67"/>
    </row>
    <row r="79" spans="1:3">
      <c r="A79" s="67"/>
      <c r="B79" s="67"/>
      <c r="C79" s="67"/>
    </row>
    <row r="80" spans="1:3">
      <c r="A80" s="67"/>
      <c r="B80" s="67"/>
      <c r="C80" s="67"/>
    </row>
    <row r="81" spans="1:3">
      <c r="A81" s="67"/>
      <c r="B81" s="67"/>
      <c r="C81" s="67"/>
    </row>
    <row r="82" spans="1:3">
      <c r="A82" s="67"/>
      <c r="B82" s="67"/>
      <c r="C82" s="67"/>
    </row>
    <row r="83" spans="1:3">
      <c r="A83" s="67"/>
      <c r="B83" s="67"/>
      <c r="C83" s="67"/>
    </row>
    <row r="84" spans="1:3">
      <c r="A84" s="67"/>
      <c r="B84" s="67"/>
      <c r="C84" s="67"/>
    </row>
    <row r="85" spans="1:3">
      <c r="A85" s="67"/>
      <c r="B85" s="67"/>
      <c r="C85" s="67"/>
    </row>
    <row r="86" spans="1:3">
      <c r="A86" s="67"/>
      <c r="B86" s="67"/>
      <c r="C86" s="67"/>
    </row>
    <row r="87" spans="1:3">
      <c r="A87" s="67"/>
      <c r="B87" s="67"/>
      <c r="C87" s="67"/>
    </row>
    <row r="88" spans="1:3">
      <c r="A88" s="67"/>
      <c r="B88" s="67"/>
      <c r="C88" s="67"/>
    </row>
    <row r="89" spans="1:3">
      <c r="A89" s="67"/>
      <c r="B89" s="67"/>
      <c r="C89" s="67"/>
    </row>
    <row r="90" spans="1:3">
      <c r="A90" s="67"/>
      <c r="B90" s="67"/>
      <c r="C90" s="67"/>
    </row>
    <row r="91" spans="1:3">
      <c r="A91" s="67"/>
      <c r="B91" s="67"/>
      <c r="C91" s="67"/>
    </row>
    <row r="92" spans="1:3">
      <c r="A92" s="67"/>
      <c r="B92" s="67"/>
      <c r="C92" s="67"/>
    </row>
    <row r="93" spans="1:3">
      <c r="A93" s="67"/>
      <c r="B93" s="67"/>
      <c r="C93" s="67"/>
    </row>
    <row r="94" spans="1:3">
      <c r="A94" s="67"/>
      <c r="B94" s="67"/>
      <c r="C94" s="67"/>
    </row>
    <row r="95" spans="1:3">
      <c r="A95" s="67"/>
      <c r="B95" s="67"/>
      <c r="C95" s="67"/>
    </row>
    <row r="96" spans="1:3">
      <c r="A96" s="67"/>
      <c r="B96" s="67"/>
      <c r="C96" s="67"/>
    </row>
    <row r="97" spans="1:3">
      <c r="A97" s="67"/>
      <c r="B97" s="67"/>
      <c r="C97" s="67"/>
    </row>
    <row r="98" spans="1:3">
      <c r="A98" s="67"/>
      <c r="B98" s="67"/>
      <c r="C98" s="67"/>
    </row>
    <row r="99" spans="1:3">
      <c r="A99" s="67"/>
      <c r="B99" s="67"/>
      <c r="C99" s="67"/>
    </row>
    <row r="100" spans="1:3">
      <c r="A100" s="67"/>
      <c r="B100" s="67"/>
      <c r="C100" s="67"/>
    </row>
    <row r="101" spans="1:3">
      <c r="A101" s="67"/>
      <c r="B101" s="67"/>
      <c r="C101" s="67"/>
    </row>
    <row r="102" spans="1:3">
      <c r="A102" s="67"/>
      <c r="B102" s="67"/>
      <c r="C102" s="67"/>
    </row>
    <row r="103" spans="1:3">
      <c r="A103" s="67"/>
      <c r="B103" s="67"/>
      <c r="C103" s="67"/>
    </row>
    <row r="104" spans="1:3">
      <c r="A104" s="67"/>
      <c r="B104" s="67"/>
      <c r="C104" s="67"/>
    </row>
    <row r="105" spans="1:3">
      <c r="A105" s="67"/>
      <c r="B105" s="67"/>
      <c r="C105" s="67"/>
    </row>
    <row r="106" spans="1:3">
      <c r="A106" s="67"/>
      <c r="B106" s="67"/>
      <c r="C106" s="67"/>
    </row>
    <row r="107" spans="1:3">
      <c r="A107" s="67"/>
      <c r="B107" s="67"/>
      <c r="C107" s="67"/>
    </row>
    <row r="108" spans="1:3">
      <c r="A108" s="67"/>
      <c r="B108" s="67"/>
      <c r="C108" s="67"/>
    </row>
    <row r="109" spans="1:3">
      <c r="A109" s="67"/>
      <c r="B109" s="67"/>
      <c r="C109" s="67"/>
    </row>
    <row r="110" spans="1:3">
      <c r="A110" s="67"/>
      <c r="B110" s="67"/>
      <c r="C110" s="67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13" priority="2">
      <formula>ISERROR(VLOOKUP(A2,성도목록,1,0))</formula>
    </cfRule>
  </conditionalFormatting>
  <conditionalFormatting sqref="A2:A32">
    <cfRule type="expression" dxfId="12" priority="1">
      <formula>ISERROR(VLOOKUP(A2,성도목록,1,0))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>
    <tabColor rgb="FFC00000"/>
  </sheetPr>
  <dimension ref="A1:T80"/>
  <sheetViews>
    <sheetView tabSelected="1" workbookViewId="0">
      <selection activeCell="D19" sqref="D19"/>
    </sheetView>
  </sheetViews>
  <sheetFormatPr defaultRowHeight="16.5"/>
  <cols>
    <col min="1" max="1" width="13.5" style="9" customWidth="1"/>
    <col min="2" max="2" width="10.25" style="9" customWidth="1"/>
    <col min="3" max="3" width="5" style="9" customWidth="1"/>
    <col min="4" max="5" width="9" style="9"/>
    <col min="6" max="18" width="4.375" style="9" customWidth="1"/>
    <col min="19" max="19" width="11.25" style="9" customWidth="1"/>
    <col min="20" max="16384" width="9" style="9"/>
  </cols>
  <sheetData>
    <row r="1" spans="1:20">
      <c r="A1" s="8" t="s">
        <v>102</v>
      </c>
      <c r="B1" s="8" t="s">
        <v>103</v>
      </c>
    </row>
    <row r="2" spans="1:20">
      <c r="A2" s="29"/>
      <c r="B2" s="30"/>
      <c r="D2" s="73" t="s">
        <v>460</v>
      </c>
      <c r="E2" s="74"/>
      <c r="F2" s="75">
        <f>SUM(B2:B1001)*1000</f>
        <v>0</v>
      </c>
      <c r="G2" s="75"/>
      <c r="H2" s="75"/>
      <c r="I2" s="76" t="s">
        <v>416</v>
      </c>
      <c r="J2" s="76"/>
      <c r="K2" s="77">
        <f>COUNTIF(B2:B1001,"&gt;0")</f>
        <v>0</v>
      </c>
      <c r="L2" s="77"/>
    </row>
    <row r="3" spans="1:20" ht="17.25" thickBot="1">
      <c r="A3" s="68"/>
      <c r="B3" s="68"/>
      <c r="D3" s="92"/>
      <c r="E3" s="92"/>
      <c r="F3" s="93"/>
      <c r="G3" s="93"/>
      <c r="H3" s="93"/>
      <c r="I3" s="94"/>
      <c r="J3" s="94"/>
      <c r="K3" s="95"/>
      <c r="L3" s="95"/>
    </row>
    <row r="4" spans="1:20" ht="18" thickTop="1" thickBot="1">
      <c r="A4" s="29"/>
      <c r="B4" s="30"/>
      <c r="D4" s="5"/>
      <c r="E4" s="83" t="s">
        <v>430</v>
      </c>
      <c r="F4" s="84"/>
      <c r="G4" s="84"/>
      <c r="H4" s="84"/>
      <c r="I4" s="84"/>
      <c r="J4" s="85"/>
      <c r="K4" s="86" t="s">
        <v>431</v>
      </c>
      <c r="L4" s="87"/>
      <c r="M4" s="87"/>
      <c r="N4" s="88"/>
      <c r="O4" s="89" t="s">
        <v>432</v>
      </c>
      <c r="P4" s="90"/>
      <c r="Q4" s="90"/>
      <c r="R4" s="91"/>
      <c r="S4" s="6"/>
      <c r="T4" s="7"/>
    </row>
    <row r="5" spans="1:20" ht="17.25" thickTop="1">
      <c r="A5" s="29"/>
      <c r="B5" s="30"/>
      <c r="D5" s="5"/>
      <c r="E5" s="12" t="s">
        <v>417</v>
      </c>
      <c r="F5" s="13" t="s">
        <v>418</v>
      </c>
      <c r="G5" s="13" t="s">
        <v>419</v>
      </c>
      <c r="H5" s="14" t="s">
        <v>420</v>
      </c>
      <c r="I5" s="14" t="s">
        <v>421</v>
      </c>
      <c r="J5" s="15" t="s">
        <v>422</v>
      </c>
      <c r="K5" s="16" t="s">
        <v>423</v>
      </c>
      <c r="L5" s="17" t="s">
        <v>424</v>
      </c>
      <c r="M5" s="17" t="s">
        <v>425</v>
      </c>
      <c r="N5" s="18" t="s">
        <v>426</v>
      </c>
      <c r="O5" s="19" t="s">
        <v>427</v>
      </c>
      <c r="P5" s="20" t="s">
        <v>428</v>
      </c>
      <c r="Q5" s="20" t="s">
        <v>420</v>
      </c>
      <c r="R5" s="21" t="s">
        <v>429</v>
      </c>
      <c r="S5" s="6" t="s">
        <v>414</v>
      </c>
      <c r="T5" s="7" t="s">
        <v>415</v>
      </c>
    </row>
    <row r="6" spans="1:20">
      <c r="A6" s="29"/>
      <c r="B6" s="30"/>
      <c r="D6" s="23" t="s">
        <v>461</v>
      </c>
      <c r="E6" s="46"/>
      <c r="F6" s="47"/>
      <c r="G6" s="48"/>
      <c r="H6" s="48"/>
      <c r="I6" s="48"/>
      <c r="J6" s="49"/>
      <c r="K6" s="50"/>
      <c r="L6" s="51"/>
      <c r="M6" s="51"/>
      <c r="N6" s="52"/>
      <c r="O6" s="53"/>
      <c r="P6" s="54"/>
      <c r="Q6" s="54"/>
      <c r="R6" s="55"/>
      <c r="S6" s="26">
        <f t="shared" ref="S6" si="0">E6+F6*2000000+G6*1000000+H6*500000+I6*300000+J6*100000+K6*50000+L6*10000+M6*5000+N6*1000+O6*500+P6*100+Q6*50+R6*10</f>
        <v>0</v>
      </c>
      <c r="T6" s="27">
        <f>S6-F2</f>
        <v>0</v>
      </c>
    </row>
    <row r="7" spans="1:20" ht="17.25" thickBot="1">
      <c r="A7" s="29"/>
      <c r="B7" s="30"/>
      <c r="D7" s="22"/>
      <c r="E7" s="80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2"/>
      <c r="S7" s="24"/>
      <c r="T7" s="25"/>
    </row>
    <row r="8" spans="1:20" ht="17.25" thickTop="1">
      <c r="A8" s="29"/>
      <c r="B8" s="30"/>
    </row>
    <row r="9" spans="1:20">
      <c r="A9" s="29"/>
      <c r="B9" s="30"/>
    </row>
    <row r="10" spans="1:20">
      <c r="A10" s="29"/>
      <c r="B10" s="30"/>
    </row>
    <row r="11" spans="1:20">
      <c r="A11" s="29"/>
      <c r="B11" s="30"/>
    </row>
    <row r="12" spans="1:20">
      <c r="A12" s="29"/>
      <c r="B12" s="30"/>
    </row>
    <row r="13" spans="1:20">
      <c r="A13" s="29"/>
      <c r="B13" s="30"/>
    </row>
    <row r="14" spans="1:20">
      <c r="A14" s="29"/>
      <c r="B14" s="30"/>
    </row>
    <row r="15" spans="1:20">
      <c r="A15" s="29"/>
      <c r="B15" s="30"/>
    </row>
    <row r="16" spans="1:20">
      <c r="A16" s="29"/>
      <c r="B16" s="30"/>
    </row>
    <row r="17" spans="1:2">
      <c r="A17" s="29"/>
      <c r="B17" s="30"/>
    </row>
    <row r="18" spans="1:2">
      <c r="A18" s="29"/>
      <c r="B18" s="30"/>
    </row>
    <row r="19" spans="1:2">
      <c r="A19" s="29"/>
      <c r="B19" s="30"/>
    </row>
    <row r="20" spans="1:2">
      <c r="A20" s="29"/>
      <c r="B20" s="30"/>
    </row>
    <row r="21" spans="1:2">
      <c r="A21" s="29"/>
      <c r="B21" s="30"/>
    </row>
    <row r="22" spans="1:2">
      <c r="A22" s="29"/>
      <c r="B22" s="30"/>
    </row>
    <row r="23" spans="1:2">
      <c r="A23" s="29"/>
      <c r="B23" s="30"/>
    </row>
    <row r="24" spans="1:2">
      <c r="A24" s="29"/>
      <c r="B24" s="30"/>
    </row>
    <row r="25" spans="1:2">
      <c r="A25" s="29"/>
      <c r="B25" s="30"/>
    </row>
    <row r="26" spans="1:2">
      <c r="A26" s="29"/>
      <c r="B26" s="30"/>
    </row>
    <row r="27" spans="1:2">
      <c r="A27" s="29"/>
      <c r="B27" s="30"/>
    </row>
    <row r="28" spans="1:2">
      <c r="A28" s="29"/>
      <c r="B28" s="30"/>
    </row>
    <row r="29" spans="1:2">
      <c r="A29" s="31"/>
      <c r="B29" s="32"/>
    </row>
    <row r="30" spans="1:2">
      <c r="A30" s="31"/>
      <c r="B30" s="32"/>
    </row>
    <row r="31" spans="1:2">
      <c r="A31" s="31"/>
      <c r="B31" s="32"/>
    </row>
    <row r="32" spans="1:2">
      <c r="A32" s="31"/>
      <c r="B32" s="32"/>
    </row>
    <row r="33" spans="1:2">
      <c r="A33" s="31"/>
      <c r="B33" s="32"/>
    </row>
    <row r="34" spans="1:2">
      <c r="A34" s="31"/>
      <c r="B34" s="32"/>
    </row>
    <row r="35" spans="1:2">
      <c r="A35" s="10"/>
      <c r="B35" s="11"/>
    </row>
    <row r="36" spans="1:2">
      <c r="A36" s="10"/>
      <c r="B36" s="11"/>
    </row>
    <row r="37" spans="1:2">
      <c r="A37" s="10"/>
      <c r="B37" s="11"/>
    </row>
    <row r="38" spans="1:2">
      <c r="A38" s="10"/>
      <c r="B38" s="11"/>
    </row>
    <row r="39" spans="1:2">
      <c r="A39" s="10"/>
      <c r="B39" s="11"/>
    </row>
    <row r="40" spans="1:2">
      <c r="A40" s="10"/>
      <c r="B40" s="11"/>
    </row>
    <row r="41" spans="1:2">
      <c r="A41" s="10"/>
      <c r="B41" s="11"/>
    </row>
    <row r="42" spans="1:2">
      <c r="A42" s="10"/>
      <c r="B42" s="11"/>
    </row>
    <row r="43" spans="1:2">
      <c r="A43" s="10"/>
      <c r="B43" s="11"/>
    </row>
    <row r="44" spans="1:2">
      <c r="A44" s="10"/>
      <c r="B44" s="11"/>
    </row>
    <row r="45" spans="1:2">
      <c r="A45" s="10"/>
      <c r="B45" s="11"/>
    </row>
    <row r="46" spans="1:2">
      <c r="A46" s="10"/>
      <c r="B46" s="11"/>
    </row>
    <row r="47" spans="1:2">
      <c r="A47" s="10"/>
      <c r="B47" s="11"/>
    </row>
    <row r="48" spans="1:2">
      <c r="A48" s="10"/>
      <c r="B48" s="11"/>
    </row>
    <row r="49" spans="1:2">
      <c r="A49" s="10"/>
      <c r="B49" s="11"/>
    </row>
    <row r="50" spans="1:2">
      <c r="A50" s="10"/>
      <c r="B50" s="11"/>
    </row>
    <row r="51" spans="1:2">
      <c r="A51" s="67"/>
      <c r="B51" s="67"/>
    </row>
    <row r="52" spans="1:2">
      <c r="A52" s="67"/>
      <c r="B52" s="67"/>
    </row>
    <row r="53" spans="1:2">
      <c r="A53" s="67"/>
      <c r="B53" s="67"/>
    </row>
    <row r="54" spans="1:2">
      <c r="A54" s="67"/>
      <c r="B54" s="67"/>
    </row>
    <row r="55" spans="1:2">
      <c r="A55" s="67"/>
      <c r="B55" s="67"/>
    </row>
    <row r="56" spans="1:2">
      <c r="A56" s="67"/>
      <c r="B56" s="67"/>
    </row>
    <row r="57" spans="1:2">
      <c r="A57" s="67"/>
      <c r="B57" s="67"/>
    </row>
    <row r="58" spans="1:2">
      <c r="A58" s="67"/>
      <c r="B58" s="67"/>
    </row>
    <row r="59" spans="1:2">
      <c r="A59" s="67"/>
      <c r="B59" s="67"/>
    </row>
    <row r="60" spans="1:2">
      <c r="A60" s="67"/>
      <c r="B60" s="67"/>
    </row>
    <row r="61" spans="1:2">
      <c r="A61" s="67"/>
      <c r="B61" s="67"/>
    </row>
    <row r="62" spans="1:2">
      <c r="A62" s="67"/>
      <c r="B62" s="67"/>
    </row>
    <row r="63" spans="1:2">
      <c r="A63" s="67"/>
      <c r="B63" s="67"/>
    </row>
    <row r="64" spans="1:2">
      <c r="A64" s="67"/>
      <c r="B64" s="67"/>
    </row>
    <row r="65" spans="1:2">
      <c r="A65" s="67"/>
      <c r="B65" s="67"/>
    </row>
    <row r="66" spans="1:2">
      <c r="A66" s="67"/>
      <c r="B66" s="67"/>
    </row>
    <row r="67" spans="1:2">
      <c r="A67" s="67"/>
      <c r="B67" s="67"/>
    </row>
    <row r="68" spans="1:2">
      <c r="A68" s="67"/>
      <c r="B68" s="67"/>
    </row>
    <row r="69" spans="1:2">
      <c r="A69" s="67"/>
      <c r="B69" s="67"/>
    </row>
    <row r="70" spans="1:2">
      <c r="A70" s="67"/>
      <c r="B70" s="67"/>
    </row>
    <row r="71" spans="1:2">
      <c r="A71" s="67"/>
      <c r="B71" s="67"/>
    </row>
    <row r="72" spans="1:2">
      <c r="A72" s="67"/>
      <c r="B72" s="67"/>
    </row>
    <row r="73" spans="1:2">
      <c r="A73" s="67"/>
      <c r="B73" s="67"/>
    </row>
    <row r="74" spans="1:2">
      <c r="A74" s="67"/>
      <c r="B74" s="67"/>
    </row>
    <row r="75" spans="1:2">
      <c r="A75" s="67"/>
      <c r="B75" s="67"/>
    </row>
    <row r="76" spans="1:2">
      <c r="A76" s="67"/>
      <c r="B76" s="67"/>
    </row>
    <row r="77" spans="1:2">
      <c r="A77" s="67"/>
      <c r="B77" s="67"/>
    </row>
    <row r="78" spans="1:2">
      <c r="A78" s="67"/>
      <c r="B78" s="67"/>
    </row>
    <row r="79" spans="1:2">
      <c r="A79" s="67"/>
      <c r="B79" s="67"/>
    </row>
    <row r="80" spans="1:2">
      <c r="A80" s="67"/>
      <c r="B80" s="67"/>
    </row>
  </sheetData>
  <sheetProtection password="CFDC" sheet="1" objects="1" scenarios="1"/>
  <mergeCells count="12">
    <mergeCell ref="E4:J4"/>
    <mergeCell ref="K4:N4"/>
    <mergeCell ref="O4:R4"/>
    <mergeCell ref="E7:R7"/>
    <mergeCell ref="D2:E2"/>
    <mergeCell ref="F2:H2"/>
    <mergeCell ref="I2:J2"/>
    <mergeCell ref="K2:L2"/>
    <mergeCell ref="D3:E3"/>
    <mergeCell ref="F3:H3"/>
    <mergeCell ref="I3:J3"/>
    <mergeCell ref="K3:L3"/>
  </mergeCells>
  <phoneticPr fontId="1" type="noConversion"/>
  <conditionalFormatting sqref="A2:A50">
    <cfRule type="expression" dxfId="11" priority="1">
      <formula>ISERROR(VLOOKUP(A2,성도목록,1,0))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A1:U80"/>
  <sheetViews>
    <sheetView workbookViewId="0">
      <selection activeCell="F6" sqref="F6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454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466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  <row r="51" spans="1:3">
      <c r="A51" s="67"/>
      <c r="B51" s="67"/>
      <c r="C51" s="67"/>
    </row>
    <row r="52" spans="1:3">
      <c r="A52" s="67"/>
      <c r="B52" s="67"/>
      <c r="C52" s="67"/>
    </row>
    <row r="53" spans="1:3">
      <c r="A53" s="67"/>
      <c r="B53" s="67"/>
      <c r="C53" s="67"/>
    </row>
    <row r="54" spans="1:3">
      <c r="A54" s="67"/>
      <c r="B54" s="67"/>
      <c r="C54" s="67"/>
    </row>
    <row r="55" spans="1:3">
      <c r="A55" s="67"/>
      <c r="B55" s="67"/>
      <c r="C55" s="67"/>
    </row>
    <row r="56" spans="1:3">
      <c r="A56" s="67"/>
      <c r="B56" s="67"/>
      <c r="C56" s="67"/>
    </row>
    <row r="57" spans="1:3">
      <c r="A57" s="67"/>
      <c r="B57" s="67"/>
      <c r="C57" s="67"/>
    </row>
    <row r="58" spans="1:3">
      <c r="A58" s="67"/>
      <c r="B58" s="67"/>
      <c r="C58" s="67"/>
    </row>
    <row r="59" spans="1:3">
      <c r="A59" s="67"/>
      <c r="B59" s="67"/>
      <c r="C59" s="67"/>
    </row>
    <row r="60" spans="1:3">
      <c r="A60" s="67"/>
      <c r="B60" s="67"/>
      <c r="C60" s="67"/>
    </row>
    <row r="61" spans="1:3">
      <c r="A61" s="67"/>
      <c r="B61" s="67"/>
      <c r="C61" s="67"/>
    </row>
    <row r="62" spans="1:3">
      <c r="A62" s="67"/>
      <c r="B62" s="67"/>
      <c r="C62" s="67"/>
    </row>
    <row r="63" spans="1:3">
      <c r="A63" s="67"/>
      <c r="B63" s="67"/>
      <c r="C63" s="67"/>
    </row>
    <row r="64" spans="1:3">
      <c r="A64" s="67"/>
      <c r="B64" s="67"/>
      <c r="C64" s="67"/>
    </row>
    <row r="65" spans="1:3">
      <c r="A65" s="67"/>
      <c r="B65" s="67"/>
      <c r="C65" s="67"/>
    </row>
    <row r="66" spans="1:3">
      <c r="A66" s="67"/>
      <c r="B66" s="67"/>
      <c r="C66" s="67"/>
    </row>
    <row r="67" spans="1:3">
      <c r="A67" s="67"/>
      <c r="B67" s="67"/>
      <c r="C67" s="67"/>
    </row>
    <row r="68" spans="1:3">
      <c r="A68" s="67"/>
      <c r="B68" s="67"/>
      <c r="C68" s="67"/>
    </row>
    <row r="69" spans="1:3">
      <c r="A69" s="67"/>
      <c r="B69" s="67"/>
      <c r="C69" s="67"/>
    </row>
    <row r="70" spans="1:3">
      <c r="A70" s="67"/>
      <c r="B70" s="67"/>
      <c r="C70" s="67"/>
    </row>
    <row r="71" spans="1:3">
      <c r="A71" s="67"/>
      <c r="B71" s="67"/>
      <c r="C71" s="67"/>
    </row>
    <row r="72" spans="1:3">
      <c r="A72" s="67"/>
      <c r="B72" s="67"/>
      <c r="C72" s="67"/>
    </row>
    <row r="73" spans="1:3">
      <c r="A73" s="67"/>
      <c r="B73" s="67"/>
      <c r="C73" s="67"/>
    </row>
    <row r="74" spans="1:3">
      <c r="A74" s="67"/>
      <c r="B74" s="67"/>
      <c r="C74" s="67"/>
    </row>
    <row r="75" spans="1:3">
      <c r="A75" s="67"/>
      <c r="B75" s="67"/>
      <c r="C75" s="67"/>
    </row>
    <row r="76" spans="1:3">
      <c r="A76" s="67"/>
      <c r="B76" s="67"/>
      <c r="C76" s="67"/>
    </row>
    <row r="77" spans="1:3">
      <c r="A77" s="67"/>
      <c r="B77" s="67"/>
      <c r="C77" s="67"/>
    </row>
    <row r="78" spans="1:3">
      <c r="A78" s="67"/>
      <c r="B78" s="67"/>
      <c r="C78" s="67"/>
    </row>
    <row r="79" spans="1:3">
      <c r="A79" s="67"/>
      <c r="B79" s="67"/>
      <c r="C79" s="67"/>
    </row>
    <row r="80" spans="1:3">
      <c r="A80" s="67"/>
      <c r="B80" s="67"/>
      <c r="C80" s="67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10" priority="1">
      <formula>ISERROR(VLOOKUP(A2,성도목록,1,0))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tabColor rgb="FFC00000"/>
  </sheetPr>
  <dimension ref="A1:U80"/>
  <sheetViews>
    <sheetView workbookViewId="0">
      <selection activeCell="E11" sqref="E11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458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467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  <row r="51" spans="1:3">
      <c r="A51" s="67"/>
      <c r="B51" s="67"/>
      <c r="C51" s="67"/>
    </row>
    <row r="52" spans="1:3">
      <c r="A52" s="67"/>
      <c r="B52" s="67"/>
      <c r="C52" s="67"/>
    </row>
    <row r="53" spans="1:3">
      <c r="A53" s="67"/>
      <c r="B53" s="67"/>
      <c r="C53" s="67"/>
    </row>
    <row r="54" spans="1:3">
      <c r="A54" s="67"/>
      <c r="B54" s="67"/>
      <c r="C54" s="67"/>
    </row>
    <row r="55" spans="1:3">
      <c r="A55" s="67"/>
      <c r="B55" s="67"/>
      <c r="C55" s="67"/>
    </row>
    <row r="56" spans="1:3">
      <c r="A56" s="67"/>
      <c r="B56" s="67"/>
      <c r="C56" s="67"/>
    </row>
    <row r="57" spans="1:3">
      <c r="A57" s="67"/>
      <c r="B57" s="67"/>
      <c r="C57" s="67"/>
    </row>
    <row r="58" spans="1:3">
      <c r="A58" s="67"/>
      <c r="B58" s="67"/>
      <c r="C58" s="67"/>
    </row>
    <row r="59" spans="1:3">
      <c r="A59" s="67"/>
      <c r="B59" s="67"/>
      <c r="C59" s="67"/>
    </row>
    <row r="60" spans="1:3">
      <c r="A60" s="67"/>
      <c r="B60" s="67"/>
      <c r="C60" s="67"/>
    </row>
    <row r="61" spans="1:3">
      <c r="A61" s="67"/>
      <c r="B61" s="67"/>
      <c r="C61" s="67"/>
    </row>
    <row r="62" spans="1:3">
      <c r="A62" s="67"/>
      <c r="B62" s="67"/>
      <c r="C62" s="67"/>
    </row>
    <row r="63" spans="1:3">
      <c r="A63" s="67"/>
      <c r="B63" s="67"/>
      <c r="C63" s="67"/>
    </row>
    <row r="64" spans="1:3">
      <c r="A64" s="67"/>
      <c r="B64" s="67"/>
      <c r="C64" s="67"/>
    </row>
    <row r="65" spans="1:3">
      <c r="A65" s="67"/>
      <c r="B65" s="67"/>
      <c r="C65" s="67"/>
    </row>
    <row r="66" spans="1:3">
      <c r="A66" s="67"/>
      <c r="B66" s="67"/>
      <c r="C66" s="67"/>
    </row>
    <row r="67" spans="1:3">
      <c r="A67" s="67"/>
      <c r="B67" s="67"/>
      <c r="C67" s="67"/>
    </row>
    <row r="68" spans="1:3">
      <c r="A68" s="67"/>
      <c r="B68" s="67"/>
      <c r="C68" s="67"/>
    </row>
    <row r="69" spans="1:3">
      <c r="A69" s="67"/>
      <c r="B69" s="67"/>
      <c r="C69" s="67"/>
    </row>
    <row r="70" spans="1:3">
      <c r="A70" s="67"/>
      <c r="B70" s="67"/>
      <c r="C70" s="67"/>
    </row>
    <row r="71" spans="1:3">
      <c r="A71" s="67"/>
      <c r="B71" s="67"/>
      <c r="C71" s="67"/>
    </row>
    <row r="72" spans="1:3">
      <c r="A72" s="67"/>
      <c r="B72" s="67"/>
      <c r="C72" s="67"/>
    </row>
    <row r="73" spans="1:3">
      <c r="A73" s="67"/>
      <c r="B73" s="67"/>
      <c r="C73" s="67"/>
    </row>
    <row r="74" spans="1:3">
      <c r="A74" s="67"/>
      <c r="B74" s="67"/>
      <c r="C74" s="67"/>
    </row>
    <row r="75" spans="1:3">
      <c r="A75" s="67"/>
      <c r="B75" s="67"/>
      <c r="C75" s="67"/>
    </row>
    <row r="76" spans="1:3">
      <c r="A76" s="67"/>
      <c r="B76" s="67"/>
      <c r="C76" s="67"/>
    </row>
    <row r="77" spans="1:3">
      <c r="A77" s="67"/>
      <c r="B77" s="67"/>
      <c r="C77" s="67"/>
    </row>
    <row r="78" spans="1:3">
      <c r="A78" s="67"/>
      <c r="B78" s="67"/>
      <c r="C78" s="67"/>
    </row>
    <row r="79" spans="1:3">
      <c r="A79" s="67"/>
      <c r="B79" s="67"/>
      <c r="C79" s="67"/>
    </row>
    <row r="80" spans="1:3">
      <c r="A80" s="67"/>
      <c r="B80" s="67"/>
      <c r="C80" s="67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9" priority="2">
      <formula>ISERROR(VLOOKUP(A2,성도목록,1,0))</formula>
    </cfRule>
  </conditionalFormatting>
  <conditionalFormatting sqref="A2:A32">
    <cfRule type="expression" dxfId="8" priority="1">
      <formula>ISERROR(VLOOKUP(A2,성도목록,1,0))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>
    <tabColor rgb="FFC00000"/>
  </sheetPr>
  <dimension ref="A1:U50"/>
  <sheetViews>
    <sheetView workbookViewId="0">
      <selection activeCell="I15" sqref="I15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456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468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7" priority="2">
      <formula>ISERROR(VLOOKUP(A2,성도목록,1,0))</formula>
    </cfRule>
  </conditionalFormatting>
  <conditionalFormatting sqref="A2:A32">
    <cfRule type="expression" dxfId="6" priority="1">
      <formula>ISERROR(VLOOKUP(A2,성도목록,1,0))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>
    <tabColor rgb="FFC00000"/>
  </sheetPr>
  <dimension ref="A1:U50"/>
  <sheetViews>
    <sheetView workbookViewId="0">
      <selection activeCell="F6" sqref="F6:S6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453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469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5" priority="2">
      <formula>ISERROR(VLOOKUP(A2,성도목록,1,0))</formula>
    </cfRule>
  </conditionalFormatting>
  <conditionalFormatting sqref="A2:A32">
    <cfRule type="expression" dxfId="4" priority="1">
      <formula>ISERROR(VLOOKUP(A2,성도목록,1,0))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>
    <tabColor rgb="FFC00000"/>
  </sheetPr>
  <dimension ref="A1:U50"/>
  <sheetViews>
    <sheetView workbookViewId="0">
      <selection activeCell="A2" sqref="A2:C50"/>
    </sheetView>
  </sheetViews>
  <sheetFormatPr defaultRowHeight="16.5"/>
  <cols>
    <col min="1" max="2" width="13.5" style="9" customWidth="1"/>
    <col min="3" max="3" width="10.25" style="9" customWidth="1"/>
    <col min="4" max="4" width="5" style="9" customWidth="1"/>
    <col min="5" max="6" width="9" style="9"/>
    <col min="7" max="19" width="4.375" style="9" customWidth="1"/>
    <col min="20" max="20" width="11.25" style="9" customWidth="1"/>
    <col min="21" max="16384" width="9" style="9"/>
  </cols>
  <sheetData>
    <row r="1" spans="1:21">
      <c r="A1" s="8" t="s">
        <v>102</v>
      </c>
      <c r="B1" s="8" t="s">
        <v>452</v>
      </c>
      <c r="C1" s="8" t="s">
        <v>103</v>
      </c>
    </row>
    <row r="2" spans="1:21">
      <c r="A2" s="29"/>
      <c r="B2" s="29"/>
      <c r="C2" s="30"/>
      <c r="E2" s="73" t="s">
        <v>457</v>
      </c>
      <c r="F2" s="74"/>
      <c r="G2" s="75">
        <f>SUM(C2:C1001)*1000</f>
        <v>0</v>
      </c>
      <c r="H2" s="75"/>
      <c r="I2" s="75"/>
      <c r="J2" s="76" t="s">
        <v>416</v>
      </c>
      <c r="K2" s="76"/>
      <c r="L2" s="77">
        <f>COUNTIF(C2:C1001,"&gt;0")</f>
        <v>0</v>
      </c>
      <c r="M2" s="77"/>
    </row>
    <row r="3" spans="1:21" ht="17.25" thickBot="1">
      <c r="A3" s="68"/>
      <c r="B3" s="68"/>
      <c r="C3" s="68"/>
      <c r="E3" s="92"/>
      <c r="F3" s="92"/>
      <c r="G3" s="93"/>
      <c r="H3" s="93"/>
      <c r="I3" s="93"/>
      <c r="J3" s="94"/>
      <c r="K3" s="94"/>
      <c r="L3" s="95"/>
      <c r="M3" s="95"/>
    </row>
    <row r="4" spans="1:21" ht="18" thickTop="1" thickBot="1">
      <c r="A4" s="29"/>
      <c r="B4" s="29"/>
      <c r="C4" s="30"/>
      <c r="E4" s="5"/>
      <c r="F4" s="83" t="s">
        <v>430</v>
      </c>
      <c r="G4" s="84"/>
      <c r="H4" s="84"/>
      <c r="I4" s="84"/>
      <c r="J4" s="84"/>
      <c r="K4" s="85"/>
      <c r="L4" s="86" t="s">
        <v>431</v>
      </c>
      <c r="M4" s="87"/>
      <c r="N4" s="87"/>
      <c r="O4" s="88"/>
      <c r="P4" s="89" t="s">
        <v>432</v>
      </c>
      <c r="Q4" s="90"/>
      <c r="R4" s="90"/>
      <c r="S4" s="91"/>
      <c r="T4" s="6"/>
      <c r="U4" s="7"/>
    </row>
    <row r="5" spans="1:21" ht="17.25" thickTop="1">
      <c r="A5" s="29"/>
      <c r="B5" s="29"/>
      <c r="C5" s="30"/>
      <c r="E5" s="5"/>
      <c r="F5" s="12" t="s">
        <v>417</v>
      </c>
      <c r="G5" s="13" t="s">
        <v>418</v>
      </c>
      <c r="H5" s="13" t="s">
        <v>419</v>
      </c>
      <c r="I5" s="14" t="s">
        <v>420</v>
      </c>
      <c r="J5" s="14" t="s">
        <v>421</v>
      </c>
      <c r="K5" s="15" t="s">
        <v>422</v>
      </c>
      <c r="L5" s="16" t="s">
        <v>423</v>
      </c>
      <c r="M5" s="17" t="s">
        <v>424</v>
      </c>
      <c r="N5" s="17" t="s">
        <v>425</v>
      </c>
      <c r="O5" s="18" t="s">
        <v>426</v>
      </c>
      <c r="P5" s="19" t="s">
        <v>427</v>
      </c>
      <c r="Q5" s="20" t="s">
        <v>428</v>
      </c>
      <c r="R5" s="20" t="s">
        <v>420</v>
      </c>
      <c r="S5" s="21" t="s">
        <v>429</v>
      </c>
      <c r="T5" s="6" t="s">
        <v>414</v>
      </c>
      <c r="U5" s="7" t="s">
        <v>415</v>
      </c>
    </row>
    <row r="6" spans="1:21">
      <c r="A6" s="29"/>
      <c r="B6" s="29"/>
      <c r="C6" s="30"/>
      <c r="E6" s="23" t="s">
        <v>470</v>
      </c>
      <c r="F6" s="46"/>
      <c r="G6" s="47"/>
      <c r="H6" s="48"/>
      <c r="I6" s="48"/>
      <c r="J6" s="48"/>
      <c r="K6" s="49"/>
      <c r="L6" s="50"/>
      <c r="M6" s="51"/>
      <c r="N6" s="51"/>
      <c r="O6" s="52"/>
      <c r="P6" s="53"/>
      <c r="Q6" s="54"/>
      <c r="R6" s="54"/>
      <c r="S6" s="55"/>
      <c r="T6" s="26">
        <f t="shared" ref="T6" si="0">F6+G6*2000000+H6*1000000+I6*500000+J6*300000+K6*100000+L6*50000+M6*10000+N6*5000+O6*1000+P6*500+Q6*100+R6*50+S6*10</f>
        <v>0</v>
      </c>
      <c r="U6" s="27">
        <f>T6-G2</f>
        <v>0</v>
      </c>
    </row>
    <row r="7" spans="1:21" ht="17.25" thickBot="1">
      <c r="A7" s="29"/>
      <c r="B7" s="29"/>
      <c r="C7" s="30"/>
      <c r="E7" s="22"/>
      <c r="F7" s="8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2"/>
      <c r="T7" s="24"/>
      <c r="U7" s="25"/>
    </row>
    <row r="8" spans="1:21" ht="17.25" thickTop="1">
      <c r="A8" s="29"/>
      <c r="B8" s="29"/>
      <c r="C8" s="30"/>
    </row>
    <row r="9" spans="1:21">
      <c r="A9" s="29"/>
      <c r="B9" s="29"/>
      <c r="C9" s="30"/>
    </row>
    <row r="10" spans="1:21">
      <c r="A10" s="29"/>
      <c r="B10" s="29"/>
      <c r="C10" s="30"/>
    </row>
    <row r="11" spans="1:21">
      <c r="A11" s="29"/>
      <c r="B11" s="29"/>
      <c r="C11" s="30"/>
    </row>
    <row r="12" spans="1:21">
      <c r="A12" s="29"/>
      <c r="B12" s="29"/>
      <c r="C12" s="30"/>
    </row>
    <row r="13" spans="1:21">
      <c r="A13" s="29"/>
      <c r="B13" s="29"/>
      <c r="C13" s="30"/>
    </row>
    <row r="14" spans="1:21">
      <c r="A14" s="29"/>
      <c r="B14" s="29"/>
      <c r="C14" s="30"/>
    </row>
    <row r="15" spans="1:21">
      <c r="A15" s="29"/>
      <c r="B15" s="29"/>
      <c r="C15" s="30"/>
    </row>
    <row r="16" spans="1:21">
      <c r="A16" s="29"/>
      <c r="B16" s="29"/>
      <c r="C16" s="30"/>
    </row>
    <row r="17" spans="1:3">
      <c r="A17" s="29"/>
      <c r="B17" s="29"/>
      <c r="C17" s="30"/>
    </row>
    <row r="18" spans="1:3">
      <c r="A18" s="29"/>
      <c r="B18" s="29"/>
      <c r="C18" s="30"/>
    </row>
    <row r="19" spans="1:3">
      <c r="A19" s="29"/>
      <c r="B19" s="29"/>
      <c r="C19" s="30"/>
    </row>
    <row r="20" spans="1:3">
      <c r="A20" s="29"/>
      <c r="B20" s="29"/>
      <c r="C20" s="30"/>
    </row>
    <row r="21" spans="1:3">
      <c r="A21" s="29"/>
      <c r="B21" s="29"/>
      <c r="C21" s="30"/>
    </row>
    <row r="22" spans="1:3">
      <c r="A22" s="29"/>
      <c r="B22" s="29"/>
      <c r="C22" s="30"/>
    </row>
    <row r="23" spans="1:3">
      <c r="A23" s="29"/>
      <c r="B23" s="29"/>
      <c r="C23" s="30"/>
    </row>
    <row r="24" spans="1:3">
      <c r="A24" s="29"/>
      <c r="B24" s="29"/>
      <c r="C24" s="30"/>
    </row>
    <row r="25" spans="1:3">
      <c r="A25" s="29"/>
      <c r="B25" s="29"/>
      <c r="C25" s="30"/>
    </row>
    <row r="26" spans="1:3">
      <c r="A26" s="29"/>
      <c r="B26" s="29"/>
      <c r="C26" s="30"/>
    </row>
    <row r="27" spans="1:3">
      <c r="A27" s="29"/>
      <c r="B27" s="29"/>
      <c r="C27" s="30"/>
    </row>
    <row r="28" spans="1:3">
      <c r="A28" s="29"/>
      <c r="B28" s="29"/>
      <c r="C28" s="30"/>
    </row>
    <row r="29" spans="1:3">
      <c r="A29" s="31"/>
      <c r="B29" s="31"/>
      <c r="C29" s="32"/>
    </row>
    <row r="30" spans="1:3">
      <c r="A30" s="31"/>
      <c r="B30" s="31"/>
      <c r="C30" s="32"/>
    </row>
    <row r="31" spans="1:3">
      <c r="A31" s="31"/>
      <c r="B31" s="31"/>
      <c r="C31" s="32"/>
    </row>
    <row r="32" spans="1:3">
      <c r="A32" s="31"/>
      <c r="B32" s="31"/>
      <c r="C32" s="32"/>
    </row>
    <row r="33" spans="1:3">
      <c r="A33" s="10"/>
      <c r="B33" s="10"/>
      <c r="C33" s="11"/>
    </row>
    <row r="34" spans="1:3">
      <c r="A34" s="10"/>
      <c r="B34" s="10"/>
      <c r="C34" s="11"/>
    </row>
    <row r="35" spans="1:3">
      <c r="A35" s="10"/>
      <c r="B35" s="10"/>
      <c r="C35" s="11"/>
    </row>
    <row r="36" spans="1:3">
      <c r="A36" s="10"/>
      <c r="B36" s="10"/>
      <c r="C36" s="11"/>
    </row>
    <row r="37" spans="1:3">
      <c r="A37" s="10"/>
      <c r="B37" s="10"/>
      <c r="C37" s="11"/>
    </row>
    <row r="38" spans="1:3">
      <c r="A38" s="10"/>
      <c r="B38" s="10"/>
      <c r="C38" s="11"/>
    </row>
    <row r="39" spans="1:3">
      <c r="A39" s="10"/>
      <c r="B39" s="10"/>
      <c r="C39" s="11"/>
    </row>
    <row r="40" spans="1:3">
      <c r="A40" s="10"/>
      <c r="B40" s="10"/>
      <c r="C40" s="11"/>
    </row>
    <row r="41" spans="1:3">
      <c r="A41" s="10"/>
      <c r="B41" s="10"/>
      <c r="C41" s="11"/>
    </row>
    <row r="42" spans="1:3">
      <c r="A42" s="10"/>
      <c r="B42" s="10"/>
      <c r="C42" s="11"/>
    </row>
    <row r="43" spans="1:3">
      <c r="A43" s="10"/>
      <c r="B43" s="10"/>
      <c r="C43" s="11"/>
    </row>
    <row r="44" spans="1:3">
      <c r="A44" s="10"/>
      <c r="B44" s="10"/>
      <c r="C44" s="11"/>
    </row>
    <row r="45" spans="1:3">
      <c r="A45" s="10"/>
      <c r="B45" s="10"/>
      <c r="C45" s="11"/>
    </row>
    <row r="46" spans="1:3">
      <c r="A46" s="10"/>
      <c r="B46" s="10"/>
      <c r="C46" s="11"/>
    </row>
    <row r="47" spans="1:3">
      <c r="A47" s="10"/>
      <c r="B47" s="10"/>
      <c r="C47" s="11"/>
    </row>
    <row r="48" spans="1:3">
      <c r="A48" s="10"/>
      <c r="B48" s="10"/>
      <c r="C48" s="11"/>
    </row>
    <row r="49" spans="1:3">
      <c r="A49" s="10"/>
      <c r="B49" s="10"/>
      <c r="C49" s="11"/>
    </row>
    <row r="50" spans="1:3">
      <c r="A50" s="10"/>
      <c r="B50" s="10"/>
      <c r="C50" s="11"/>
    </row>
  </sheetData>
  <sheetProtection password="CFDC" sheet="1" objects="1" scenarios="1"/>
  <mergeCells count="12">
    <mergeCell ref="F4:K4"/>
    <mergeCell ref="L4:O4"/>
    <mergeCell ref="P4:S4"/>
    <mergeCell ref="F7:S7"/>
    <mergeCell ref="E2:F2"/>
    <mergeCell ref="G2:I2"/>
    <mergeCell ref="J2:K2"/>
    <mergeCell ref="L2:M2"/>
    <mergeCell ref="E3:F3"/>
    <mergeCell ref="G3:I3"/>
    <mergeCell ref="J3:K3"/>
    <mergeCell ref="L3:M3"/>
  </mergeCells>
  <phoneticPr fontId="1" type="noConversion"/>
  <conditionalFormatting sqref="A2:A50">
    <cfRule type="expression" dxfId="3" priority="2">
      <formula>ISERROR(VLOOKUP(A2,성도목록,1,0))</formula>
    </cfRule>
  </conditionalFormatting>
  <conditionalFormatting sqref="A2:A32">
    <cfRule type="expression" dxfId="2" priority="1">
      <formula>ISERROR(VLOOKUP(A2,성도목록,1,0))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104</v>
      </c>
    </row>
    <row r="4" spans="1:1">
      <c r="A4" s="2" t="s">
        <v>105</v>
      </c>
    </row>
    <row r="5" spans="1:1">
      <c r="A5" s="2" t="s">
        <v>106</v>
      </c>
    </row>
    <row r="6" spans="1:1">
      <c r="A6" s="2" t="s">
        <v>107</v>
      </c>
    </row>
    <row r="7" spans="1:1">
      <c r="A7" s="2" t="s">
        <v>108</v>
      </c>
    </row>
    <row r="8" spans="1:1">
      <c r="A8" s="2" t="s">
        <v>12</v>
      </c>
    </row>
    <row r="9" spans="1:1">
      <c r="A9" s="2" t="s">
        <v>109</v>
      </c>
    </row>
    <row r="10" spans="1:1">
      <c r="A10" s="2" t="s">
        <v>110</v>
      </c>
    </row>
    <row r="11" spans="1:1">
      <c r="A11" s="2" t="s">
        <v>111</v>
      </c>
    </row>
    <row r="12" spans="1:1">
      <c r="A12" s="2" t="s">
        <v>57</v>
      </c>
    </row>
    <row r="13" spans="1:1">
      <c r="A13" s="2" t="s">
        <v>112</v>
      </c>
    </row>
    <row r="14" spans="1:1">
      <c r="A14" s="2" t="s">
        <v>20</v>
      </c>
    </row>
    <row r="15" spans="1:1">
      <c r="A15" s="2" t="s">
        <v>113</v>
      </c>
    </row>
    <row r="16" spans="1:1">
      <c r="A16" s="2" t="s">
        <v>114</v>
      </c>
    </row>
    <row r="17" spans="1:1">
      <c r="A17" s="2" t="s">
        <v>115</v>
      </c>
    </row>
    <row r="18" spans="1:1">
      <c r="A18" s="2" t="s">
        <v>116</v>
      </c>
    </row>
    <row r="19" spans="1:1">
      <c r="A19" s="2" t="s">
        <v>82</v>
      </c>
    </row>
    <row r="20" spans="1:1">
      <c r="A20" s="2" t="s">
        <v>117</v>
      </c>
    </row>
    <row r="21" spans="1:1">
      <c r="A21" s="2" t="s">
        <v>118</v>
      </c>
    </row>
    <row r="22" spans="1:1">
      <c r="A22" s="2" t="s">
        <v>119</v>
      </c>
    </row>
    <row r="23" spans="1:1">
      <c r="A23" s="2" t="s">
        <v>120</v>
      </c>
    </row>
    <row r="24" spans="1:1">
      <c r="A24" s="2" t="s">
        <v>121</v>
      </c>
    </row>
    <row r="25" spans="1:1">
      <c r="A25" s="2" t="s">
        <v>122</v>
      </c>
    </row>
    <row r="26" spans="1:1">
      <c r="A26" s="2" t="s">
        <v>40</v>
      </c>
    </row>
    <row r="27" spans="1:1">
      <c r="A27" s="2" t="s">
        <v>123</v>
      </c>
    </row>
    <row r="28" spans="1:1">
      <c r="A28" s="2" t="s">
        <v>124</v>
      </c>
    </row>
    <row r="29" spans="1:1">
      <c r="A29" s="2" t="s">
        <v>19</v>
      </c>
    </row>
    <row r="30" spans="1:1">
      <c r="A30" s="2" t="s">
        <v>125</v>
      </c>
    </row>
    <row r="31" spans="1:1">
      <c r="A31" s="2" t="s">
        <v>126</v>
      </c>
    </row>
    <row r="32" spans="1:1">
      <c r="A32" s="2" t="s">
        <v>127</v>
      </c>
    </row>
    <row r="33" spans="1:1">
      <c r="A33" s="2" t="s">
        <v>70</v>
      </c>
    </row>
    <row r="34" spans="1:1">
      <c r="A34" s="2" t="s">
        <v>128</v>
      </c>
    </row>
    <row r="35" spans="1:1">
      <c r="A35" s="2" t="s">
        <v>129</v>
      </c>
    </row>
    <row r="36" spans="1:1">
      <c r="A36" s="2" t="s">
        <v>130</v>
      </c>
    </row>
    <row r="37" spans="1:1">
      <c r="A37" s="2" t="s">
        <v>131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132</v>
      </c>
    </row>
    <row r="41" spans="1:1">
      <c r="A41" s="2" t="s">
        <v>132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133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134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135</v>
      </c>
    </row>
    <row r="52" spans="1:1">
      <c r="A52" s="2" t="s">
        <v>136</v>
      </c>
    </row>
    <row r="53" spans="1:1">
      <c r="A53" s="2" t="s">
        <v>15</v>
      </c>
    </row>
    <row r="54" spans="1:1">
      <c r="A54" s="2" t="s">
        <v>137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138</v>
      </c>
    </row>
    <row r="59" spans="1:1">
      <c r="A59" s="2" t="s">
        <v>139</v>
      </c>
    </row>
    <row r="60" spans="1:1">
      <c r="A60" s="2" t="s">
        <v>34</v>
      </c>
    </row>
    <row r="61" spans="1:1">
      <c r="A61" s="2" t="s">
        <v>140</v>
      </c>
    </row>
    <row r="62" spans="1:1">
      <c r="A62" s="2" t="s">
        <v>85</v>
      </c>
    </row>
    <row r="63" spans="1:1">
      <c r="A63" s="2" t="s">
        <v>141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142</v>
      </c>
    </row>
    <row r="69" spans="1:1">
      <c r="A69" s="2" t="s">
        <v>143</v>
      </c>
    </row>
    <row r="70" spans="1:1">
      <c r="A70" s="2" t="s">
        <v>144</v>
      </c>
    </row>
    <row r="71" spans="1:1">
      <c r="A71" s="2" t="s">
        <v>145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146</v>
      </c>
    </row>
    <row r="75" spans="1:1">
      <c r="A75" s="2" t="s">
        <v>147</v>
      </c>
    </row>
    <row r="76" spans="1:1">
      <c r="A76" s="2" t="s">
        <v>61</v>
      </c>
    </row>
    <row r="77" spans="1:1">
      <c r="A77" s="2" t="s">
        <v>148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149</v>
      </c>
    </row>
    <row r="82" spans="1:1">
      <c r="A82" s="2" t="s">
        <v>150</v>
      </c>
    </row>
    <row r="83" spans="1:1">
      <c r="A83" s="2" t="s">
        <v>31</v>
      </c>
    </row>
    <row r="84" spans="1:1">
      <c r="A84" s="2" t="s">
        <v>151</v>
      </c>
    </row>
    <row r="85" spans="1:1">
      <c r="A85" s="2" t="s">
        <v>152</v>
      </c>
    </row>
    <row r="86" spans="1:1">
      <c r="A86" s="2" t="s">
        <v>59</v>
      </c>
    </row>
    <row r="87" spans="1:1">
      <c r="A87" s="2" t="s">
        <v>153</v>
      </c>
    </row>
    <row r="88" spans="1:1">
      <c r="A88" s="2" t="s">
        <v>45</v>
      </c>
    </row>
    <row r="89" spans="1:1">
      <c r="A89" s="2" t="s">
        <v>154</v>
      </c>
    </row>
    <row r="90" spans="1:1">
      <c r="A90" s="2" t="s">
        <v>155</v>
      </c>
    </row>
    <row r="91" spans="1:1">
      <c r="A91" s="2" t="s">
        <v>156</v>
      </c>
    </row>
    <row r="92" spans="1:1">
      <c r="A92" s="2" t="s">
        <v>157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158</v>
      </c>
    </row>
    <row r="96" spans="1:1">
      <c r="A96" s="2" t="s">
        <v>159</v>
      </c>
    </row>
    <row r="97" spans="1:1">
      <c r="A97" s="2" t="s">
        <v>160</v>
      </c>
    </row>
    <row r="98" spans="1:1">
      <c r="A98" s="2" t="s">
        <v>161</v>
      </c>
    </row>
    <row r="99" spans="1:1">
      <c r="A99" s="2" t="s">
        <v>162</v>
      </c>
    </row>
    <row r="100" spans="1:1">
      <c r="A100" s="2" t="s">
        <v>163</v>
      </c>
    </row>
    <row r="101" spans="1:1">
      <c r="A101" s="2" t="s">
        <v>2</v>
      </c>
    </row>
    <row r="102" spans="1:1">
      <c r="A102" s="2" t="s">
        <v>164</v>
      </c>
    </row>
    <row r="103" spans="1:1">
      <c r="A103" s="2" t="s">
        <v>165</v>
      </c>
    </row>
    <row r="104" spans="1:1">
      <c r="A104" s="2" t="s">
        <v>166</v>
      </c>
    </row>
    <row r="105" spans="1:1">
      <c r="A105" s="2" t="s">
        <v>167</v>
      </c>
    </row>
    <row r="106" spans="1:1">
      <c r="A106" s="2" t="s">
        <v>168</v>
      </c>
    </row>
    <row r="107" spans="1:1">
      <c r="A107" s="2" t="s">
        <v>169</v>
      </c>
    </row>
    <row r="108" spans="1:1">
      <c r="A108" s="2" t="s">
        <v>30</v>
      </c>
    </row>
    <row r="109" spans="1:1">
      <c r="A109" s="2" t="s">
        <v>170</v>
      </c>
    </row>
    <row r="110" spans="1:1">
      <c r="A110" s="2" t="s">
        <v>171</v>
      </c>
    </row>
    <row r="111" spans="1:1">
      <c r="A111" s="2" t="s">
        <v>172</v>
      </c>
    </row>
    <row r="112" spans="1:1">
      <c r="A112" s="2" t="s">
        <v>173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174</v>
      </c>
    </row>
    <row r="116" spans="1:1">
      <c r="A116" s="2" t="s">
        <v>175</v>
      </c>
    </row>
    <row r="117" spans="1:1">
      <c r="A117" s="2" t="s">
        <v>176</v>
      </c>
    </row>
    <row r="118" spans="1:1">
      <c r="A118" s="2" t="s">
        <v>177</v>
      </c>
    </row>
    <row r="119" spans="1:1">
      <c r="A119" s="2" t="s">
        <v>1</v>
      </c>
    </row>
    <row r="120" spans="1:1">
      <c r="A120" s="2" t="s">
        <v>178</v>
      </c>
    </row>
    <row r="121" spans="1:1">
      <c r="A121" s="2" t="s">
        <v>179</v>
      </c>
    </row>
    <row r="122" spans="1:1">
      <c r="A122" s="2" t="s">
        <v>180</v>
      </c>
    </row>
    <row r="123" spans="1:1">
      <c r="A123" s="2" t="s">
        <v>181</v>
      </c>
    </row>
    <row r="124" spans="1:1">
      <c r="A124" s="2" t="s">
        <v>182</v>
      </c>
    </row>
    <row r="125" spans="1:1">
      <c r="A125" s="2" t="s">
        <v>56</v>
      </c>
    </row>
    <row r="126" spans="1:1">
      <c r="A126" s="2" t="s">
        <v>183</v>
      </c>
    </row>
    <row r="127" spans="1:1">
      <c r="A127" s="2" t="s">
        <v>67</v>
      </c>
    </row>
    <row r="128" spans="1:1">
      <c r="A128" s="2" t="s">
        <v>184</v>
      </c>
    </row>
    <row r="129" spans="1:1">
      <c r="A129" s="2" t="s">
        <v>185</v>
      </c>
    </row>
    <row r="130" spans="1:1">
      <c r="A130" s="2" t="s">
        <v>186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187</v>
      </c>
    </row>
    <row r="139" spans="1:1">
      <c r="A139" s="2" t="s">
        <v>188</v>
      </c>
    </row>
    <row r="140" spans="1:1">
      <c r="A140" s="2" t="s">
        <v>189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190</v>
      </c>
    </row>
    <row r="144" spans="1:1">
      <c r="A144" s="2" t="s">
        <v>191</v>
      </c>
    </row>
    <row r="145" spans="1:1">
      <c r="A145" s="2" t="s">
        <v>192</v>
      </c>
    </row>
    <row r="146" spans="1:1">
      <c r="A146" s="2" t="s">
        <v>88</v>
      </c>
    </row>
    <row r="147" spans="1:1">
      <c r="A147" s="3" t="s">
        <v>193</v>
      </c>
    </row>
    <row r="148" spans="1:1">
      <c r="A148" s="2" t="s">
        <v>194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195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196</v>
      </c>
    </row>
    <row r="157" spans="1:1">
      <c r="A157" s="2" t="s">
        <v>197</v>
      </c>
    </row>
    <row r="158" spans="1:1">
      <c r="A158" s="2" t="s">
        <v>198</v>
      </c>
    </row>
    <row r="159" spans="1:1">
      <c r="A159" s="2" t="s">
        <v>199</v>
      </c>
    </row>
    <row r="160" spans="1:1">
      <c r="A160" s="2" t="s">
        <v>200</v>
      </c>
    </row>
    <row r="161" spans="1:1">
      <c r="A161" s="2" t="s">
        <v>201</v>
      </c>
    </row>
    <row r="162" spans="1:1">
      <c r="A162" s="2" t="s">
        <v>202</v>
      </c>
    </row>
    <row r="163" spans="1:1">
      <c r="A163" s="2" t="s">
        <v>203</v>
      </c>
    </row>
    <row r="164" spans="1:1">
      <c r="A164" s="2" t="s">
        <v>9</v>
      </c>
    </row>
    <row r="165" spans="1:1">
      <c r="A165" s="2" t="s">
        <v>204</v>
      </c>
    </row>
    <row r="166" spans="1:1">
      <c r="A166" s="2" t="s">
        <v>205</v>
      </c>
    </row>
    <row r="167" spans="1:1">
      <c r="A167" s="2" t="s">
        <v>206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207</v>
      </c>
    </row>
    <row r="171" spans="1:1">
      <c r="A171" s="2" t="s">
        <v>208</v>
      </c>
    </row>
    <row r="172" spans="1:1">
      <c r="A172" s="2" t="s">
        <v>209</v>
      </c>
    </row>
    <row r="173" spans="1:1">
      <c r="A173" s="2" t="s">
        <v>210</v>
      </c>
    </row>
    <row r="174" spans="1:1">
      <c r="A174" s="2" t="s">
        <v>211</v>
      </c>
    </row>
    <row r="175" spans="1:1">
      <c r="A175" s="2" t="s">
        <v>87</v>
      </c>
    </row>
    <row r="176" spans="1:1">
      <c r="A176" s="2" t="s">
        <v>212</v>
      </c>
    </row>
    <row r="177" spans="1:1">
      <c r="A177" s="2" t="s">
        <v>213</v>
      </c>
    </row>
    <row r="178" spans="1:1">
      <c r="A178" s="2" t="s">
        <v>214</v>
      </c>
    </row>
    <row r="179" spans="1:1">
      <c r="A179" s="2" t="s">
        <v>215</v>
      </c>
    </row>
    <row r="180" spans="1:1">
      <c r="A180" s="2" t="s">
        <v>216</v>
      </c>
    </row>
    <row r="181" spans="1:1">
      <c r="A181" s="2" t="s">
        <v>217</v>
      </c>
    </row>
    <row r="182" spans="1:1">
      <c r="A182" s="2" t="s">
        <v>218</v>
      </c>
    </row>
    <row r="183" spans="1:1">
      <c r="A183" s="2" t="s">
        <v>219</v>
      </c>
    </row>
    <row r="184" spans="1:1">
      <c r="A184" s="2" t="s">
        <v>220</v>
      </c>
    </row>
    <row r="185" spans="1:1">
      <c r="A185" s="2" t="s">
        <v>221</v>
      </c>
    </row>
    <row r="186" spans="1:1">
      <c r="A186" s="2" t="s">
        <v>222</v>
      </c>
    </row>
    <row r="187" spans="1:1">
      <c r="A187" s="2" t="s">
        <v>223</v>
      </c>
    </row>
    <row r="188" spans="1:1">
      <c r="A188" s="2" t="s">
        <v>224</v>
      </c>
    </row>
    <row r="189" spans="1:1">
      <c r="A189" s="2" t="s">
        <v>33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228</v>
      </c>
    </row>
    <row r="196" spans="1:1">
      <c r="A196" s="2" t="s">
        <v>229</v>
      </c>
    </row>
    <row r="197" spans="1:1">
      <c r="A197" s="2" t="s">
        <v>230</v>
      </c>
    </row>
    <row r="198" spans="1:1">
      <c r="A198" s="2" t="s">
        <v>231</v>
      </c>
    </row>
    <row r="199" spans="1:1">
      <c r="A199" s="2" t="s">
        <v>32</v>
      </c>
    </row>
    <row r="200" spans="1:1">
      <c r="A200" s="2" t="s">
        <v>232</v>
      </c>
    </row>
    <row r="201" spans="1:1">
      <c r="A201" s="2" t="s">
        <v>233</v>
      </c>
    </row>
    <row r="202" spans="1:1">
      <c r="A202" s="2" t="s">
        <v>234</v>
      </c>
    </row>
    <row r="203" spans="1:1">
      <c r="A203" s="2" t="s">
        <v>69</v>
      </c>
    </row>
    <row r="204" spans="1:1">
      <c r="A204" s="2" t="s">
        <v>235</v>
      </c>
    </row>
    <row r="205" spans="1:1">
      <c r="A205" s="2" t="s">
        <v>90</v>
      </c>
    </row>
    <row r="206" spans="1:1">
      <c r="A206" s="2" t="s">
        <v>236</v>
      </c>
    </row>
    <row r="207" spans="1:1">
      <c r="A207" s="2" t="s">
        <v>237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238</v>
      </c>
    </row>
    <row r="211" spans="1:1">
      <c r="A211" s="2" t="s">
        <v>36</v>
      </c>
    </row>
    <row r="212" spans="1:1">
      <c r="A212" s="2" t="s">
        <v>239</v>
      </c>
    </row>
    <row r="213" spans="1:1">
      <c r="A213" s="3" t="s">
        <v>72</v>
      </c>
    </row>
    <row r="214" spans="1:1">
      <c r="A214" s="2" t="s">
        <v>240</v>
      </c>
    </row>
    <row r="215" spans="1:1">
      <c r="A215" s="2" t="s">
        <v>241</v>
      </c>
    </row>
    <row r="216" spans="1:1">
      <c r="A216" s="2" t="s">
        <v>242</v>
      </c>
    </row>
    <row r="217" spans="1:1">
      <c r="A217" s="2" t="s">
        <v>243</v>
      </c>
    </row>
    <row r="218" spans="1:1">
      <c r="A218" s="2" t="s">
        <v>244</v>
      </c>
    </row>
    <row r="219" spans="1:1">
      <c r="A219" s="2" t="s">
        <v>245</v>
      </c>
    </row>
    <row r="220" spans="1:1">
      <c r="A220" s="2" t="s">
        <v>246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247</v>
      </c>
    </row>
    <row r="224" spans="1:1">
      <c r="A224" s="2" t="s">
        <v>248</v>
      </c>
    </row>
    <row r="225" spans="1:1">
      <c r="A225" s="2" t="s">
        <v>249</v>
      </c>
    </row>
    <row r="226" spans="1:1">
      <c r="A226" s="2" t="s">
        <v>92</v>
      </c>
    </row>
    <row r="227" spans="1:1">
      <c r="A227" s="3" t="s">
        <v>250</v>
      </c>
    </row>
    <row r="228" spans="1:1">
      <c r="A228" s="2" t="s">
        <v>251</v>
      </c>
    </row>
    <row r="229" spans="1:1">
      <c r="A229" s="2" t="s">
        <v>252</v>
      </c>
    </row>
    <row r="230" spans="1:1">
      <c r="A230" s="2" t="s">
        <v>253</v>
      </c>
    </row>
    <row r="231" spans="1:1">
      <c r="A231" s="2" t="s">
        <v>254</v>
      </c>
    </row>
    <row r="232" spans="1:1">
      <c r="A232" s="2" t="s">
        <v>255</v>
      </c>
    </row>
    <row r="233" spans="1:1">
      <c r="A233" s="2" t="s">
        <v>256</v>
      </c>
    </row>
    <row r="234" spans="1:1">
      <c r="A234" s="2" t="s">
        <v>257</v>
      </c>
    </row>
    <row r="235" spans="1:1">
      <c r="A235" s="2" t="s">
        <v>258</v>
      </c>
    </row>
    <row r="236" spans="1:1">
      <c r="A236" s="2" t="s">
        <v>259</v>
      </c>
    </row>
    <row r="237" spans="1:1">
      <c r="A237" s="2" t="s">
        <v>260</v>
      </c>
    </row>
    <row r="238" spans="1:1">
      <c r="A238" s="2" t="s">
        <v>261</v>
      </c>
    </row>
    <row r="239" spans="1:1">
      <c r="A239" s="2" t="s">
        <v>262</v>
      </c>
    </row>
    <row r="240" spans="1:1">
      <c r="A240" s="2" t="s">
        <v>263</v>
      </c>
    </row>
    <row r="241" spans="1:1">
      <c r="A241" s="2" t="s">
        <v>264</v>
      </c>
    </row>
    <row r="242" spans="1:1">
      <c r="A242" s="2" t="s">
        <v>265</v>
      </c>
    </row>
    <row r="243" spans="1:1">
      <c r="A243" s="2" t="s">
        <v>266</v>
      </c>
    </row>
    <row r="244" spans="1:1">
      <c r="A244" s="2" t="s">
        <v>267</v>
      </c>
    </row>
    <row r="245" spans="1:1">
      <c r="A245" s="2" t="s">
        <v>268</v>
      </c>
    </row>
    <row r="246" spans="1:1">
      <c r="A246" s="2" t="s">
        <v>269</v>
      </c>
    </row>
    <row r="247" spans="1:1">
      <c r="A247" s="2" t="s">
        <v>77</v>
      </c>
    </row>
    <row r="248" spans="1:1">
      <c r="A248" s="2" t="s">
        <v>270</v>
      </c>
    </row>
    <row r="249" spans="1:1">
      <c r="A249" s="2" t="s">
        <v>29</v>
      </c>
    </row>
    <row r="250" spans="1:1">
      <c r="A250" s="2" t="s">
        <v>271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272</v>
      </c>
    </row>
    <row r="255" spans="1:1">
      <c r="A255" s="2" t="s">
        <v>273</v>
      </c>
    </row>
    <row r="256" spans="1:1">
      <c r="A256" s="2" t="s">
        <v>274</v>
      </c>
    </row>
    <row r="257" spans="1:1">
      <c r="A257" s="2" t="s">
        <v>275</v>
      </c>
    </row>
    <row r="258" spans="1:1">
      <c r="A258" s="2" t="s">
        <v>276</v>
      </c>
    </row>
    <row r="259" spans="1:1">
      <c r="A259" s="2" t="s">
        <v>277</v>
      </c>
    </row>
    <row r="260" spans="1:1">
      <c r="A260" s="2" t="s">
        <v>278</v>
      </c>
    </row>
    <row r="261" spans="1:1">
      <c r="A261" s="2" t="s">
        <v>279</v>
      </c>
    </row>
    <row r="262" spans="1:1">
      <c r="A262" s="2" t="s">
        <v>280</v>
      </c>
    </row>
    <row r="263" spans="1:1">
      <c r="A263" s="2" t="s">
        <v>281</v>
      </c>
    </row>
    <row r="264" spans="1:1">
      <c r="A264" s="2" t="s">
        <v>282</v>
      </c>
    </row>
    <row r="265" spans="1:1">
      <c r="A265" s="2" t="s">
        <v>283</v>
      </c>
    </row>
    <row r="266" spans="1:1">
      <c r="A266" s="2" t="s">
        <v>284</v>
      </c>
    </row>
    <row r="267" spans="1:1">
      <c r="A267" s="2" t="s">
        <v>285</v>
      </c>
    </row>
    <row r="268" spans="1:1">
      <c r="A268" s="2" t="s">
        <v>286</v>
      </c>
    </row>
    <row r="269" spans="1:1">
      <c r="A269" s="2" t="s">
        <v>287</v>
      </c>
    </row>
    <row r="270" spans="1:1">
      <c r="A270" s="2" t="s">
        <v>84</v>
      </c>
    </row>
    <row r="271" spans="1:1">
      <c r="A271" s="2" t="s">
        <v>288</v>
      </c>
    </row>
    <row r="272" spans="1:1">
      <c r="A272" s="2" t="s">
        <v>289</v>
      </c>
    </row>
    <row r="273" spans="1:1">
      <c r="A273" s="2" t="s">
        <v>290</v>
      </c>
    </row>
    <row r="274" spans="1:1">
      <c r="A274" s="2" t="s">
        <v>95</v>
      </c>
    </row>
    <row r="275" spans="1:1">
      <c r="A275" s="2" t="s">
        <v>291</v>
      </c>
    </row>
    <row r="276" spans="1:1">
      <c r="A276" s="2" t="s">
        <v>292</v>
      </c>
    </row>
    <row r="277" spans="1:1">
      <c r="A277" s="2" t="s">
        <v>75</v>
      </c>
    </row>
    <row r="278" spans="1:1">
      <c r="A278" s="2" t="s">
        <v>293</v>
      </c>
    </row>
    <row r="279" spans="1:1">
      <c r="A279" s="2" t="s">
        <v>294</v>
      </c>
    </row>
    <row r="280" spans="1:1">
      <c r="A280" s="2" t="s">
        <v>6</v>
      </c>
    </row>
    <row r="281" spans="1:1">
      <c r="A281" s="2" t="s">
        <v>295</v>
      </c>
    </row>
    <row r="282" spans="1:1">
      <c r="A282" s="2" t="s">
        <v>296</v>
      </c>
    </row>
    <row r="283" spans="1:1">
      <c r="A283" s="2" t="s">
        <v>297</v>
      </c>
    </row>
    <row r="284" spans="1:1">
      <c r="A284" s="2" t="s">
        <v>21</v>
      </c>
    </row>
    <row r="285" spans="1:1">
      <c r="A285" s="2" t="s">
        <v>298</v>
      </c>
    </row>
    <row r="286" spans="1:1">
      <c r="A286" s="2" t="s">
        <v>299</v>
      </c>
    </row>
    <row r="287" spans="1:1">
      <c r="A287" s="2" t="s">
        <v>300</v>
      </c>
    </row>
    <row r="288" spans="1:1">
      <c r="A288" s="2" t="s">
        <v>301</v>
      </c>
    </row>
    <row r="289" spans="1:1">
      <c r="A289" s="2" t="s">
        <v>302</v>
      </c>
    </row>
    <row r="290" spans="1:1">
      <c r="A290" s="2" t="s">
        <v>303</v>
      </c>
    </row>
    <row r="291" spans="1:1">
      <c r="A291" s="2" t="s">
        <v>304</v>
      </c>
    </row>
    <row r="292" spans="1:1">
      <c r="A292" s="2" t="s">
        <v>305</v>
      </c>
    </row>
    <row r="293" spans="1:1">
      <c r="A293" s="2" t="s">
        <v>42</v>
      </c>
    </row>
    <row r="294" spans="1:1">
      <c r="A294" s="2" t="s">
        <v>306</v>
      </c>
    </row>
    <row r="295" spans="1:1">
      <c r="A295" s="2" t="s">
        <v>307</v>
      </c>
    </row>
    <row r="296" spans="1:1">
      <c r="A296" s="2" t="s">
        <v>308</v>
      </c>
    </row>
    <row r="297" spans="1:1">
      <c r="A297" s="2" t="s">
        <v>309</v>
      </c>
    </row>
    <row r="298" spans="1:1">
      <c r="A298" s="2" t="s">
        <v>310</v>
      </c>
    </row>
    <row r="299" spans="1:1">
      <c r="A299" s="2" t="s">
        <v>311</v>
      </c>
    </row>
    <row r="300" spans="1:1">
      <c r="A300" s="2" t="s">
        <v>312</v>
      </c>
    </row>
    <row r="301" spans="1:1">
      <c r="A301" s="2" t="s">
        <v>313</v>
      </c>
    </row>
    <row r="302" spans="1:1">
      <c r="A302" s="2" t="s">
        <v>314</v>
      </c>
    </row>
    <row r="303" spans="1:1">
      <c r="A303" s="2" t="s">
        <v>315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316</v>
      </c>
    </row>
    <row r="307" spans="1:1">
      <c r="A307" s="2" t="s">
        <v>317</v>
      </c>
    </row>
    <row r="308" spans="1:1">
      <c r="A308" s="2" t="s">
        <v>89</v>
      </c>
    </row>
    <row r="309" spans="1:1">
      <c r="A309" s="2" t="s">
        <v>318</v>
      </c>
    </row>
    <row r="310" spans="1:1">
      <c r="A310" s="2" t="s">
        <v>319</v>
      </c>
    </row>
    <row r="311" spans="1:1">
      <c r="A311" s="2" t="s">
        <v>101</v>
      </c>
    </row>
    <row r="312" spans="1:1">
      <c r="A312" s="2" t="s">
        <v>320</v>
      </c>
    </row>
    <row r="313" spans="1:1">
      <c r="A313" s="2" t="s">
        <v>321</v>
      </c>
    </row>
    <row r="314" spans="1:1">
      <c r="A314" s="2" t="s">
        <v>322</v>
      </c>
    </row>
    <row r="315" spans="1:1">
      <c r="A315" s="2" t="s">
        <v>323</v>
      </c>
    </row>
    <row r="316" spans="1:1">
      <c r="A316" s="2" t="s">
        <v>324</v>
      </c>
    </row>
    <row r="317" spans="1:1">
      <c r="A317" s="2" t="s">
        <v>325</v>
      </c>
    </row>
    <row r="318" spans="1:1">
      <c r="A318" s="2" t="s">
        <v>326</v>
      </c>
    </row>
    <row r="319" spans="1:1">
      <c r="A319" s="2" t="s">
        <v>327</v>
      </c>
    </row>
    <row r="320" spans="1:1">
      <c r="A320" s="2" t="s">
        <v>328</v>
      </c>
    </row>
    <row r="321" spans="1:1">
      <c r="A321" s="2" t="s">
        <v>329</v>
      </c>
    </row>
    <row r="322" spans="1:1">
      <c r="A322" s="2" t="s">
        <v>330</v>
      </c>
    </row>
    <row r="323" spans="1:1">
      <c r="A323" s="2" t="s">
        <v>331</v>
      </c>
    </row>
    <row r="324" spans="1:1">
      <c r="A324" s="2" t="s">
        <v>332</v>
      </c>
    </row>
    <row r="325" spans="1:1">
      <c r="A325" s="2" t="s">
        <v>333</v>
      </c>
    </row>
    <row r="326" spans="1:1">
      <c r="A326" s="2" t="s">
        <v>334</v>
      </c>
    </row>
    <row r="327" spans="1:1">
      <c r="A327" s="2" t="s">
        <v>335</v>
      </c>
    </row>
    <row r="328" spans="1:1">
      <c r="A328" s="2" t="s">
        <v>336</v>
      </c>
    </row>
    <row r="329" spans="1:1">
      <c r="A329" s="2" t="s">
        <v>337</v>
      </c>
    </row>
    <row r="330" spans="1:1">
      <c r="A330" s="2" t="s">
        <v>338</v>
      </c>
    </row>
    <row r="331" spans="1:1">
      <c r="A331" s="2" t="s">
        <v>339</v>
      </c>
    </row>
    <row r="332" spans="1:1">
      <c r="A332" s="2" t="s">
        <v>340</v>
      </c>
    </row>
    <row r="333" spans="1:1">
      <c r="A333" s="2" t="s">
        <v>73</v>
      </c>
    </row>
    <row r="334" spans="1:1">
      <c r="A334" s="2" t="s">
        <v>341</v>
      </c>
    </row>
    <row r="335" spans="1:1">
      <c r="A335" s="2" t="s">
        <v>342</v>
      </c>
    </row>
    <row r="336" spans="1:1">
      <c r="A336" s="2" t="s">
        <v>343</v>
      </c>
    </row>
    <row r="337" spans="1:1">
      <c r="A337" s="2" t="s">
        <v>344</v>
      </c>
    </row>
    <row r="338" spans="1:1">
      <c r="A338" s="2" t="s">
        <v>345</v>
      </c>
    </row>
    <row r="339" spans="1:1">
      <c r="A339" s="2" t="s">
        <v>346</v>
      </c>
    </row>
    <row r="340" spans="1:1">
      <c r="A340" s="2" t="s">
        <v>347</v>
      </c>
    </row>
    <row r="341" spans="1:1">
      <c r="A341" s="2" t="s">
        <v>348</v>
      </c>
    </row>
    <row r="342" spans="1:1">
      <c r="A342" s="2" t="s">
        <v>349</v>
      </c>
    </row>
    <row r="343" spans="1:1">
      <c r="A343" s="2" t="s">
        <v>350</v>
      </c>
    </row>
    <row r="344" spans="1:1">
      <c r="A344" s="2" t="s">
        <v>351</v>
      </c>
    </row>
    <row r="345" spans="1:1">
      <c r="A345" s="2" t="s">
        <v>62</v>
      </c>
    </row>
    <row r="346" spans="1:1">
      <c r="A346" s="2" t="s">
        <v>352</v>
      </c>
    </row>
    <row r="347" spans="1:1">
      <c r="A347" s="2" t="s">
        <v>353</v>
      </c>
    </row>
    <row r="348" spans="1:1">
      <c r="A348" s="2" t="s">
        <v>354</v>
      </c>
    </row>
    <row r="349" spans="1:1">
      <c r="A349" s="2" t="s">
        <v>355</v>
      </c>
    </row>
    <row r="350" spans="1:1">
      <c r="A350" s="2" t="s">
        <v>356</v>
      </c>
    </row>
    <row r="351" spans="1:1">
      <c r="A351" s="2" t="s">
        <v>357</v>
      </c>
    </row>
    <row r="352" spans="1:1">
      <c r="A352" s="2" t="s">
        <v>358</v>
      </c>
    </row>
    <row r="353" spans="1:1">
      <c r="A353" s="2" t="s">
        <v>359</v>
      </c>
    </row>
    <row r="354" spans="1:1">
      <c r="A354" s="2" t="s">
        <v>360</v>
      </c>
    </row>
    <row r="355" spans="1:1">
      <c r="A355" s="2" t="s">
        <v>361</v>
      </c>
    </row>
    <row r="356" spans="1:1">
      <c r="A356" s="2" t="s">
        <v>362</v>
      </c>
    </row>
    <row r="357" spans="1:1">
      <c r="A357" s="2" t="s">
        <v>363</v>
      </c>
    </row>
    <row r="358" spans="1:1">
      <c r="A358" s="2" t="s">
        <v>364</v>
      </c>
    </row>
    <row r="359" spans="1:1">
      <c r="A359" s="2" t="s">
        <v>365</v>
      </c>
    </row>
    <row r="360" spans="1:1">
      <c r="A360" s="2" t="s">
        <v>366</v>
      </c>
    </row>
    <row r="361" spans="1:1">
      <c r="A361" s="2" t="s">
        <v>367</v>
      </c>
    </row>
    <row r="362" spans="1:1">
      <c r="A362" s="2" t="s">
        <v>368</v>
      </c>
    </row>
    <row r="363" spans="1:1">
      <c r="A363" s="2" t="s">
        <v>369</v>
      </c>
    </row>
    <row r="364" spans="1:1">
      <c r="A364" s="2" t="s">
        <v>370</v>
      </c>
    </row>
    <row r="365" spans="1:1">
      <c r="A365" s="2" t="s">
        <v>371</v>
      </c>
    </row>
    <row r="366" spans="1:1">
      <c r="A366" s="2" t="s">
        <v>372</v>
      </c>
    </row>
    <row r="367" spans="1:1">
      <c r="A367" s="2" t="s">
        <v>373</v>
      </c>
    </row>
    <row r="368" spans="1:1">
      <c r="A368" s="2" t="s">
        <v>374</v>
      </c>
    </row>
    <row r="369" spans="1:1">
      <c r="A369" s="2" t="s">
        <v>5</v>
      </c>
    </row>
    <row r="370" spans="1:1">
      <c r="A370" s="2" t="s">
        <v>375</v>
      </c>
    </row>
    <row r="371" spans="1:1">
      <c r="A371" s="2" t="s">
        <v>64</v>
      </c>
    </row>
    <row r="372" spans="1:1">
      <c r="A372" s="2" t="s">
        <v>376</v>
      </c>
    </row>
    <row r="373" spans="1:1">
      <c r="A373" s="2" t="s">
        <v>377</v>
      </c>
    </row>
    <row r="374" spans="1:1">
      <c r="A374" s="2" t="s">
        <v>378</v>
      </c>
    </row>
    <row r="375" spans="1:1">
      <c r="A375" s="2" t="s">
        <v>379</v>
      </c>
    </row>
    <row r="376" spans="1:1">
      <c r="A376" s="2" t="s">
        <v>380</v>
      </c>
    </row>
    <row r="377" spans="1:1">
      <c r="A377" s="2" t="s">
        <v>381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382</v>
      </c>
    </row>
    <row r="381" spans="1:1">
      <c r="A381" s="2" t="s">
        <v>383</v>
      </c>
    </row>
    <row r="382" spans="1:1">
      <c r="A382" s="2" t="s">
        <v>65</v>
      </c>
    </row>
    <row r="383" spans="1:1">
      <c r="A383" s="2" t="s">
        <v>384</v>
      </c>
    </row>
    <row r="384" spans="1:1">
      <c r="A384" s="2" t="s">
        <v>79</v>
      </c>
    </row>
    <row r="385" spans="1:1">
      <c r="A385" s="2" t="s">
        <v>385</v>
      </c>
    </row>
    <row r="386" spans="1:1">
      <c r="A386" s="2" t="s">
        <v>386</v>
      </c>
    </row>
    <row r="387" spans="1:1">
      <c r="A387" s="2" t="s">
        <v>387</v>
      </c>
    </row>
    <row r="388" spans="1:1">
      <c r="A388" s="2" t="s">
        <v>388</v>
      </c>
    </row>
    <row r="389" spans="1:1">
      <c r="A389" s="2" t="s">
        <v>389</v>
      </c>
    </row>
    <row r="390" spans="1:1">
      <c r="A390" s="2" t="s">
        <v>390</v>
      </c>
    </row>
    <row r="391" spans="1:1">
      <c r="A391" s="2" t="s">
        <v>391</v>
      </c>
    </row>
    <row r="392" spans="1:1">
      <c r="A392" s="2" t="s">
        <v>392</v>
      </c>
    </row>
    <row r="393" spans="1:1">
      <c r="A393" s="2" t="s">
        <v>393</v>
      </c>
    </row>
    <row r="394" spans="1:1">
      <c r="A394" s="2" t="s">
        <v>394</v>
      </c>
    </row>
    <row r="395" spans="1:1">
      <c r="A395" s="2" t="s">
        <v>395</v>
      </c>
    </row>
    <row r="396" spans="1:1">
      <c r="A396" s="2" t="s">
        <v>396</v>
      </c>
    </row>
    <row r="397" spans="1:1">
      <c r="A397" s="2" t="s">
        <v>397</v>
      </c>
    </row>
    <row r="398" spans="1:1">
      <c r="A398" s="2" t="s">
        <v>398</v>
      </c>
    </row>
    <row r="399" spans="1:1">
      <c r="A399" s="2" t="s">
        <v>399</v>
      </c>
    </row>
    <row r="400" spans="1:1">
      <c r="A400" s="2" t="s">
        <v>400</v>
      </c>
    </row>
    <row r="401" spans="1:1">
      <c r="A401" s="2" t="s">
        <v>401</v>
      </c>
    </row>
    <row r="402" spans="1:1">
      <c r="A402" s="2" t="s">
        <v>402</v>
      </c>
    </row>
    <row r="403" spans="1:1">
      <c r="A403" s="2" t="s">
        <v>403</v>
      </c>
    </row>
    <row r="404" spans="1:1">
      <c r="A404" s="2" t="s">
        <v>404</v>
      </c>
    </row>
    <row r="405" spans="1:1">
      <c r="A405" s="2" t="s">
        <v>405</v>
      </c>
    </row>
    <row r="406" spans="1:1">
      <c r="A406" s="2" t="s">
        <v>71</v>
      </c>
    </row>
    <row r="407" spans="1:1">
      <c r="A407" s="2" t="s">
        <v>406</v>
      </c>
    </row>
    <row r="408" spans="1:1">
      <c r="A408" s="2" t="s">
        <v>407</v>
      </c>
    </row>
    <row r="409" spans="1:1">
      <c r="A409" s="2" t="s">
        <v>408</v>
      </c>
    </row>
    <row r="410" spans="1:1">
      <c r="A410" s="2" t="s">
        <v>409</v>
      </c>
    </row>
    <row r="411" spans="1:1">
      <c r="A411" s="2" t="s">
        <v>410</v>
      </c>
    </row>
    <row r="412" spans="1:1">
      <c r="A412" s="2" t="s">
        <v>411</v>
      </c>
    </row>
    <row r="413" spans="1:1">
      <c r="A413" s="2" t="s">
        <v>412</v>
      </c>
    </row>
    <row r="414" spans="1:1">
      <c r="A414" s="2" t="s">
        <v>413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conditionalFormatting sqref="A553:A562">
    <cfRule type="expression" dxfId="1" priority="2">
      <formula>ISERROR(VLOOKUP(A553,$A$198:$A$983,1,0))</formula>
    </cfRule>
  </conditionalFormatting>
  <conditionalFormatting sqref="A536">
    <cfRule type="expression" dxfId="0" priority="1">
      <formula>ISERROR(VLOOKUP(A536,$A$207:$A$992,1,0))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</vt:i4>
      </vt:variant>
    </vt:vector>
  </HeadingPairs>
  <TitlesOfParts>
    <vt:vector size="15" baseType="lpstr">
      <vt:lpstr>주일학교</vt:lpstr>
      <vt:lpstr>통장헌금</vt:lpstr>
      <vt:lpstr>선교헌금</vt:lpstr>
      <vt:lpstr>복지헌금</vt:lpstr>
      <vt:lpstr>선교지정</vt:lpstr>
      <vt:lpstr>복지지정</vt:lpstr>
      <vt:lpstr>굿윌지정</vt:lpstr>
      <vt:lpstr>목회지정</vt:lpstr>
      <vt:lpstr>봉사지정</vt:lpstr>
      <vt:lpstr>교육지정</vt:lpstr>
      <vt:lpstr>예배지정</vt:lpstr>
      <vt:lpstr>관리지정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2017-04-26T13:55:23Z</dcterms:modified>
</cp:coreProperties>
</file>