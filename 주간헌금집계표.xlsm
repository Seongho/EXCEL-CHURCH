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현재_통합_문서"/>
  <bookViews>
    <workbookView xWindow="0" yWindow="0" windowWidth="15315" windowHeight="5730" tabRatio="672" activeTab="5"/>
  </bookViews>
  <sheets>
    <sheet name="금주헌금집계표" sheetId="22" r:id="rId1"/>
    <sheet name="헌금입금확인서" sheetId="26" r:id="rId2"/>
    <sheet name="헌금집계표" sheetId="23" r:id="rId3"/>
    <sheet name="지출내역" sheetId="24" r:id="rId4"/>
    <sheet name="송금요청서" sheetId="25" r:id="rId5"/>
    <sheet name="지우지마세요!" sheetId="27" r:id="rId6"/>
  </sheets>
  <externalReferences>
    <externalReference r:id="rId7"/>
  </externalReferences>
  <definedNames>
    <definedName name="_xlnm.Print_Area" localSheetId="0">금주헌금집계표!$A$1:$X$49</definedName>
    <definedName name="_xlnm.Print_Area" localSheetId="4">송금요청서!$A$1:$G$189</definedName>
    <definedName name="_xlnm.Print_Area" localSheetId="5">'지우지마세요!'!$A$1:$K$11</definedName>
    <definedName name="_xlnm.Print_Area" localSheetId="1">헌금입금확인서!$A$1:$X$38</definedName>
    <definedName name="_xlnm.Print_Area" localSheetId="2">헌금집계표!$A$1:$Z$235</definedName>
    <definedName name="성도목록">[1]성도목록!$A:$A</definedName>
  </definedNames>
  <calcPr calcId="1257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89" i="25"/>
  <c r="D142"/>
  <c r="D95"/>
  <c r="D47"/>
  <c r="F189" i="24"/>
  <c r="E189"/>
  <c r="F142"/>
  <c r="E142"/>
  <c r="F95"/>
  <c r="E95"/>
  <c r="F47"/>
  <c r="E47"/>
  <c r="F146" i="25"/>
  <c r="D48" l="1"/>
  <c r="F145" i="24"/>
  <c r="G188"/>
  <c r="G187"/>
  <c r="G186"/>
  <c r="G185"/>
  <c r="G184"/>
  <c r="G183"/>
  <c r="G182"/>
  <c r="G181"/>
  <c r="G180"/>
  <c r="G174"/>
  <c r="G173"/>
  <c r="G172"/>
  <c r="G171"/>
  <c r="G170"/>
  <c r="G169"/>
  <c r="G163"/>
  <c r="G162"/>
  <c r="G161"/>
  <c r="G160"/>
  <c r="G159"/>
  <c r="G158"/>
  <c r="G157"/>
  <c r="G156"/>
  <c r="G155"/>
  <c r="G154"/>
  <c r="G153"/>
  <c r="G152"/>
  <c r="G151"/>
  <c r="G150"/>
  <c r="G149"/>
  <c r="G189" l="1"/>
  <c r="H8" i="23" l="1"/>
  <c r="R6"/>
  <c r="C57" l="1"/>
  <c r="B7" s="1"/>
  <c r="U226"/>
  <c r="Z225"/>
  <c r="O226"/>
  <c r="T225"/>
  <c r="C226"/>
  <c r="I226"/>
  <c r="N225"/>
  <c r="H225"/>
  <c r="U191"/>
  <c r="O191"/>
  <c r="I191"/>
  <c r="C191"/>
  <c r="Z190"/>
  <c r="N190"/>
  <c r="H190"/>
  <c r="U215"/>
  <c r="O215"/>
  <c r="I215"/>
  <c r="C215"/>
  <c r="Z214"/>
  <c r="T214"/>
  <c r="N214"/>
  <c r="H214"/>
  <c r="U207"/>
  <c r="O207"/>
  <c r="I207"/>
  <c r="C207"/>
  <c r="Z206"/>
  <c r="T206"/>
  <c r="N206"/>
  <c r="H206"/>
  <c r="U199"/>
  <c r="O199"/>
  <c r="I199"/>
  <c r="C199"/>
  <c r="Z198"/>
  <c r="T198"/>
  <c r="N198"/>
  <c r="H198"/>
  <c r="U175"/>
  <c r="O175"/>
  <c r="I175"/>
  <c r="C175"/>
  <c r="Z174"/>
  <c r="T174"/>
  <c r="N174"/>
  <c r="H174"/>
  <c r="O167"/>
  <c r="C167"/>
  <c r="T166"/>
  <c r="H166"/>
  <c r="AB7" l="1"/>
  <c r="S176"/>
  <c r="G216"/>
  <c r="S216"/>
  <c r="S208"/>
  <c r="G208"/>
  <c r="G200"/>
  <c r="S200"/>
  <c r="G176"/>
  <c r="S227"/>
  <c r="G227"/>
  <c r="S192"/>
  <c r="G192"/>
  <c r="F19" i="22" l="1"/>
  <c r="O10" i="23"/>
  <c r="AB13"/>
  <c r="AQ13"/>
  <c r="Z104" l="1"/>
  <c r="V104"/>
  <c r="R104"/>
  <c r="N104"/>
  <c r="J104"/>
  <c r="V23" i="26" l="1"/>
  <c r="V24"/>
  <c r="I30"/>
  <c r="I31"/>
  <c r="I32"/>
  <c r="I22"/>
  <c r="I23"/>
  <c r="I24"/>
  <c r="AM25" i="23" l="1"/>
  <c r="F26" i="26" s="1"/>
  <c r="I26" s="1"/>
  <c r="AN25" i="23"/>
  <c r="F27" i="26" s="1"/>
  <c r="I27" s="1"/>
  <c r="AO25" i="23"/>
  <c r="F28" i="26" s="1"/>
  <c r="I28" s="1"/>
  <c r="AP25" i="23"/>
  <c r="F29" i="26" s="1"/>
  <c r="I29" s="1"/>
  <c r="AL25" i="23"/>
  <c r="F21" i="26" s="1"/>
  <c r="I21" s="1"/>
  <c r="AK25" i="23"/>
  <c r="F20" i="26" s="1"/>
  <c r="I20" s="1"/>
  <c r="AJ25" i="23"/>
  <c r="F19" i="26" s="1"/>
  <c r="I19" s="1"/>
  <c r="AI25" i="23"/>
  <c r="F18" i="26" s="1"/>
  <c r="I18" s="1"/>
  <c r="AH25" i="23"/>
  <c r="S22" i="26" s="1"/>
  <c r="V22" s="1"/>
  <c r="AF25" i="23"/>
  <c r="S20" i="26" s="1"/>
  <c r="V20" s="1"/>
  <c r="AG25" i="23"/>
  <c r="S21" i="26" s="1"/>
  <c r="V21" s="1"/>
  <c r="AE25" i="23"/>
  <c r="S19" i="26" s="1"/>
  <c r="V19" s="1"/>
  <c r="AD25" i="23"/>
  <c r="S18" i="26" s="1"/>
  <c r="V18" s="1"/>
  <c r="AC25" i="23"/>
  <c r="AQ8"/>
  <c r="AQ9"/>
  <c r="AQ10"/>
  <c r="AQ11"/>
  <c r="AQ12"/>
  <c r="AQ17"/>
  <c r="AQ18"/>
  <c r="AQ19"/>
  <c r="AQ20"/>
  <c r="AQ21"/>
  <c r="AQ22"/>
  <c r="AQ23"/>
  <c r="AQ24"/>
  <c r="AQ7"/>
  <c r="AQ6"/>
  <c r="AB24"/>
  <c r="AB23"/>
  <c r="AB22"/>
  <c r="AB21"/>
  <c r="AB20"/>
  <c r="AB19"/>
  <c r="AB18"/>
  <c r="AB17"/>
  <c r="AB12"/>
  <c r="AB11"/>
  <c r="AB10"/>
  <c r="AB9"/>
  <c r="AB6"/>
  <c r="G141" i="24"/>
  <c r="G140"/>
  <c r="G139"/>
  <c r="G138"/>
  <c r="G137"/>
  <c r="G136"/>
  <c r="G135"/>
  <c r="G134"/>
  <c r="G133"/>
  <c r="G127"/>
  <c r="G126"/>
  <c r="G125"/>
  <c r="G124"/>
  <c r="G123"/>
  <c r="G122"/>
  <c r="G116"/>
  <c r="G115"/>
  <c r="G114"/>
  <c r="G113"/>
  <c r="G112"/>
  <c r="G111"/>
  <c r="G110"/>
  <c r="G109"/>
  <c r="G108"/>
  <c r="G107"/>
  <c r="G106"/>
  <c r="G105"/>
  <c r="G104"/>
  <c r="G103"/>
  <c r="G102"/>
  <c r="G94"/>
  <c r="G93"/>
  <c r="G92"/>
  <c r="G91"/>
  <c r="G90"/>
  <c r="G89"/>
  <c r="G88"/>
  <c r="G87"/>
  <c r="G86"/>
  <c r="G85"/>
  <c r="G84"/>
  <c r="G83"/>
  <c r="G82"/>
  <c r="G81"/>
  <c r="G80"/>
  <c r="G79"/>
  <c r="G78"/>
  <c r="G77"/>
  <c r="G76"/>
  <c r="G75"/>
  <c r="G74"/>
  <c r="G73"/>
  <c r="G72"/>
  <c r="G71"/>
  <c r="G70"/>
  <c r="G69"/>
  <c r="G68"/>
  <c r="G67"/>
  <c r="G66"/>
  <c r="G65"/>
  <c r="G64"/>
  <c r="G63"/>
  <c r="G62"/>
  <c r="G61"/>
  <c r="G60"/>
  <c r="G59"/>
  <c r="G58"/>
  <c r="G57"/>
  <c r="G56"/>
  <c r="G55"/>
  <c r="G8"/>
  <c r="G9"/>
  <c r="G10"/>
  <c r="G11"/>
  <c r="G12"/>
  <c r="G13"/>
  <c r="G14"/>
  <c r="G15"/>
  <c r="G16"/>
  <c r="G17"/>
  <c r="G18"/>
  <c r="G19"/>
  <c r="G20"/>
  <c r="G21"/>
  <c r="G22"/>
  <c r="G23"/>
  <c r="G24"/>
  <c r="G25"/>
  <c r="G26"/>
  <c r="G27"/>
  <c r="G28"/>
  <c r="G29"/>
  <c r="G30"/>
  <c r="G31"/>
  <c r="G32"/>
  <c r="G33"/>
  <c r="G34"/>
  <c r="G35"/>
  <c r="G36"/>
  <c r="G37"/>
  <c r="G38"/>
  <c r="G39"/>
  <c r="G40"/>
  <c r="G41"/>
  <c r="G42"/>
  <c r="G43"/>
  <c r="G44"/>
  <c r="G45"/>
  <c r="G46"/>
  <c r="G7"/>
  <c r="W157" i="23"/>
  <c r="Z156"/>
  <c r="K157"/>
  <c r="N156"/>
  <c r="N26" i="22"/>
  <c r="F99" i="25"/>
  <c r="F52"/>
  <c r="F4"/>
  <c r="F98" i="24"/>
  <c r="F51"/>
  <c r="F3"/>
  <c r="B37" i="26"/>
  <c r="K12"/>
  <c r="V160" i="23"/>
  <c r="V108"/>
  <c r="V55"/>
  <c r="V5"/>
  <c r="V3"/>
  <c r="U167"/>
  <c r="I167"/>
  <c r="Z166"/>
  <c r="N166"/>
  <c r="W237"/>
  <c r="S237"/>
  <c r="O237"/>
  <c r="K237"/>
  <c r="G237"/>
  <c r="C237"/>
  <c r="Z236"/>
  <c r="V236"/>
  <c r="R236"/>
  <c r="N236"/>
  <c r="J236"/>
  <c r="F236"/>
  <c r="R10"/>
  <c r="T24" i="22"/>
  <c r="W138" i="23"/>
  <c r="R7" s="1"/>
  <c r="T23" i="22" s="1"/>
  <c r="W133" i="23"/>
  <c r="S133"/>
  <c r="O133"/>
  <c r="K133"/>
  <c r="G133"/>
  <c r="C133"/>
  <c r="Z132"/>
  <c r="V132"/>
  <c r="R132"/>
  <c r="N132"/>
  <c r="J132"/>
  <c r="F132"/>
  <c r="Z121"/>
  <c r="V121"/>
  <c r="R121"/>
  <c r="N121"/>
  <c r="J121"/>
  <c r="W122"/>
  <c r="S122"/>
  <c r="O122"/>
  <c r="K122"/>
  <c r="G122"/>
  <c r="C122"/>
  <c r="F121"/>
  <c r="T20" i="22"/>
  <c r="E8" i="23"/>
  <c r="N20" i="22" s="1"/>
  <c r="W105" i="23"/>
  <c r="S105"/>
  <c r="O105"/>
  <c r="K105"/>
  <c r="G105"/>
  <c r="C105"/>
  <c r="F104"/>
  <c r="K52"/>
  <c r="G52"/>
  <c r="W52"/>
  <c r="S52"/>
  <c r="O52"/>
  <c r="C52"/>
  <c r="Z51"/>
  <c r="V51"/>
  <c r="R51"/>
  <c r="N51"/>
  <c r="J51"/>
  <c r="F51"/>
  <c r="B6" i="22"/>
  <c r="G46"/>
  <c r="G47"/>
  <c r="G48"/>
  <c r="T48" s="1"/>
  <c r="C9" i="27" s="1"/>
  <c r="G49" i="22"/>
  <c r="S168" i="23" l="1"/>
  <c r="AR17" s="1"/>
  <c r="G142" i="24"/>
  <c r="G95"/>
  <c r="G47"/>
  <c r="E48"/>
  <c r="G35" i="22" s="1"/>
  <c r="G37" s="1"/>
  <c r="F48" i="24"/>
  <c r="G168" i="23"/>
  <c r="G158"/>
  <c r="S158"/>
  <c r="AQ14" s="1"/>
  <c r="T26" i="22"/>
  <c r="AR13" i="23"/>
  <c r="R33" i="26"/>
  <c r="F33"/>
  <c r="AR12" i="23"/>
  <c r="AR8"/>
  <c r="AQ25"/>
  <c r="AR20"/>
  <c r="S238"/>
  <c r="AR24" s="1"/>
  <c r="AR23"/>
  <c r="AR22"/>
  <c r="G238"/>
  <c r="AR21"/>
  <c r="AR19"/>
  <c r="AR18"/>
  <c r="S106"/>
  <c r="H7" s="1"/>
  <c r="S123"/>
  <c r="H9" s="1"/>
  <c r="S134"/>
  <c r="H10" s="1"/>
  <c r="G134"/>
  <c r="E10" s="1"/>
  <c r="N22" i="22" s="1"/>
  <c r="G123" i="23"/>
  <c r="E9" s="1"/>
  <c r="N21" i="22" s="1"/>
  <c r="S53" i="23"/>
  <c r="H6" s="1"/>
  <c r="G53"/>
  <c r="E6" s="1"/>
  <c r="N18" i="22" s="1"/>
  <c r="G106" i="23"/>
  <c r="E7" s="1"/>
  <c r="N19" i="22" s="1"/>
  <c r="AR25" i="23" l="1"/>
  <c r="T30" i="22"/>
  <c r="G48" i="24"/>
  <c r="AR11" i="23"/>
  <c r="T16" i="26"/>
  <c r="L30" i="22" s="1"/>
  <c r="J16" i="26"/>
  <c r="T22" i="22"/>
  <c r="AR10" i="23"/>
  <c r="T21" i="22"/>
  <c r="AR9" i="23"/>
  <c r="T19" i="22"/>
  <c r="AR7" i="23"/>
  <c r="T18" i="22"/>
  <c r="AR6" i="23"/>
  <c r="O9"/>
  <c r="N25" i="22" s="1"/>
  <c r="R9" i="23"/>
  <c r="T25" i="22" s="1"/>
  <c r="L36" s="1"/>
  <c r="L35" s="1"/>
  <c r="E12" i="23" l="1"/>
  <c r="N27" i="22"/>
  <c r="L12" i="23"/>
  <c r="T27" i="22" l="1"/>
  <c r="L45"/>
  <c r="T36" l="1"/>
  <c r="L44"/>
  <c r="L46" s="1"/>
  <c r="F30"/>
  <c r="T46" l="1"/>
  <c r="C7" i="27" s="1"/>
  <c r="L37" i="22"/>
  <c r="L39" s="1"/>
  <c r="T35"/>
  <c r="T37" s="1"/>
  <c r="L47" s="1"/>
  <c r="T47" s="1"/>
  <c r="C8" i="27" s="1"/>
  <c r="L49" i="22" l="1"/>
  <c r="T49" s="1"/>
  <c r="C10" i="27" s="1"/>
</calcChain>
</file>

<file path=xl/sharedStrings.xml><?xml version="1.0" encoding="utf-8"?>
<sst xmlns="http://schemas.openxmlformats.org/spreadsheetml/2006/main" count="476" uniqueCount="208">
  <si>
    <t>부 서 명 : 재정부</t>
    <phoneticPr fontId="1" type="noConversion"/>
  </si>
  <si>
    <t>기획팀장</t>
    <phoneticPr fontId="1" type="noConversion"/>
  </si>
  <si>
    <t>담임목사</t>
    <phoneticPr fontId="1" type="noConversion"/>
  </si>
  <si>
    <t>주일헌금(무기명)</t>
    <phoneticPr fontId="1" type="noConversion"/>
  </si>
  <si>
    <t>복지헌금</t>
    <phoneticPr fontId="1" type="noConversion"/>
  </si>
  <si>
    <t>주일학교헌금</t>
    <phoneticPr fontId="1" type="noConversion"/>
  </si>
  <si>
    <t>외국인예배헌금</t>
    <phoneticPr fontId="1" type="noConversion"/>
  </si>
  <si>
    <t>지정헌금</t>
    <phoneticPr fontId="1" type="noConversion"/>
  </si>
  <si>
    <t>기타수입</t>
    <phoneticPr fontId="1" type="noConversion"/>
  </si>
  <si>
    <t>비고</t>
    <phoneticPr fontId="1" type="noConversion"/>
  </si>
  <si>
    <t>년간 헌금 수입.지출 누계 현황표</t>
    <phoneticPr fontId="1" type="noConversion"/>
  </si>
  <si>
    <t>소계</t>
    <phoneticPr fontId="1" type="noConversion"/>
  </si>
  <si>
    <t>계정과목</t>
    <phoneticPr fontId="1" type="noConversion"/>
  </si>
  <si>
    <t>항</t>
    <phoneticPr fontId="1" type="noConversion"/>
  </si>
  <si>
    <t>금액</t>
    <phoneticPr fontId="1" type="noConversion"/>
  </si>
  <si>
    <t>합계</t>
    <phoneticPr fontId="1" type="noConversion"/>
  </si>
  <si>
    <t>취 급 자 확 인</t>
    <phoneticPr fontId="1" type="noConversion"/>
  </si>
  <si>
    <t>재정부장</t>
    <phoneticPr fontId="1" type="noConversion"/>
  </si>
  <si>
    <t>인</t>
    <phoneticPr fontId="1" type="noConversion"/>
  </si>
  <si>
    <t>아래의 금액을 예금계좌에 입금하여 주십시오.</t>
    <phoneticPr fontId="1" type="noConversion"/>
  </si>
  <si>
    <r>
      <rPr>
        <sz val="11"/>
        <color theme="1"/>
        <rFont val="맑은 고딕"/>
        <family val="3"/>
        <charset val="129"/>
        <scheme val="minor"/>
      </rPr>
      <t>예금주 :</t>
    </r>
    <r>
      <rPr>
        <b/>
        <sz val="11"/>
        <color theme="1"/>
        <rFont val="맑은 고딕"/>
        <family val="3"/>
        <charset val="129"/>
        <scheme val="minor"/>
      </rPr>
      <t xml:space="preserve">  창원남산 </t>
    </r>
    <r>
      <rPr>
        <sz val="11"/>
        <color theme="1"/>
        <rFont val="맑은 고딕"/>
        <family val="3"/>
        <charset val="129"/>
        <scheme val="minor"/>
      </rPr>
      <t>교회                    대표                   인</t>
    </r>
    <phoneticPr fontId="1" type="noConversion"/>
  </si>
  <si>
    <t xml:space="preserve"> 매</t>
    <phoneticPr fontId="1" type="noConversion"/>
  </si>
  <si>
    <t>매</t>
    <phoneticPr fontId="1" type="noConversion"/>
  </si>
  <si>
    <t>구분</t>
    <phoneticPr fontId="1" type="noConversion"/>
  </si>
  <si>
    <t>인원</t>
    <phoneticPr fontId="1" type="noConversion"/>
  </si>
  <si>
    <t>십일조</t>
    <phoneticPr fontId="1" type="noConversion"/>
  </si>
  <si>
    <t>선교헌금</t>
    <phoneticPr fontId="1" type="noConversion"/>
  </si>
  <si>
    <t>주일학교</t>
    <phoneticPr fontId="1" type="noConversion"/>
  </si>
  <si>
    <t>합계</t>
    <phoneticPr fontId="1" type="noConversion"/>
  </si>
  <si>
    <t>주일헌금</t>
    <phoneticPr fontId="1" type="noConversion"/>
  </si>
  <si>
    <t>순번</t>
    <phoneticPr fontId="1" type="noConversion"/>
  </si>
  <si>
    <t>예금주</t>
    <phoneticPr fontId="1" type="noConversion"/>
  </si>
  <si>
    <t>송금액</t>
    <phoneticPr fontId="1" type="noConversion"/>
  </si>
  <si>
    <t>계좌번호</t>
    <phoneticPr fontId="1" type="noConversion"/>
  </si>
  <si>
    <t>성명</t>
    <phoneticPr fontId="1" type="noConversion"/>
  </si>
  <si>
    <t>단위:천원</t>
    <phoneticPr fontId="1" type="noConversion"/>
  </si>
  <si>
    <t>금주 주간 헌금 수입과 지출 내역을 아래와 같이 보고합니다</t>
    <phoneticPr fontId="1" type="noConversion"/>
  </si>
  <si>
    <t>결재</t>
    <phoneticPr fontId="1" type="noConversion"/>
  </si>
  <si>
    <t>재정장로</t>
    <phoneticPr fontId="1" type="noConversion"/>
  </si>
  <si>
    <t>주간 수입 집계표</t>
    <phoneticPr fontId="1" type="noConversion"/>
  </si>
  <si>
    <t>인원</t>
    <phoneticPr fontId="1" type="noConversion"/>
  </si>
  <si>
    <t>목</t>
    <phoneticPr fontId="1" type="noConversion"/>
  </si>
  <si>
    <t>장년헌금</t>
    <phoneticPr fontId="1" type="noConversion"/>
  </si>
  <si>
    <t>십일조헌금</t>
    <phoneticPr fontId="1" type="noConversion"/>
  </si>
  <si>
    <t>주일헌금(무기명)</t>
    <phoneticPr fontId="1" type="noConversion"/>
  </si>
  <si>
    <t>선교헌금</t>
    <phoneticPr fontId="1" type="noConversion"/>
  </si>
  <si>
    <t>지정헌금</t>
    <phoneticPr fontId="1" type="noConversion"/>
  </si>
  <si>
    <t>기타수입</t>
    <phoneticPr fontId="1" type="noConversion"/>
  </si>
  <si>
    <t>주간 지출 집계표</t>
    <phoneticPr fontId="1" type="noConversion"/>
  </si>
  <si>
    <t>구분</t>
    <phoneticPr fontId="1" type="noConversion"/>
  </si>
  <si>
    <t>수입</t>
    <phoneticPr fontId="1" type="noConversion"/>
  </si>
  <si>
    <t>일반</t>
    <phoneticPr fontId="1" type="noConversion"/>
  </si>
  <si>
    <t>지정</t>
    <phoneticPr fontId="1" type="noConversion"/>
  </si>
  <si>
    <t>소계</t>
    <phoneticPr fontId="1" type="noConversion"/>
  </si>
  <si>
    <t>지출</t>
    <phoneticPr fontId="1" type="noConversion"/>
  </si>
  <si>
    <t>전년도이월금</t>
    <phoneticPr fontId="1" type="noConversion"/>
  </si>
  <si>
    <t>잔액</t>
    <phoneticPr fontId="1" type="noConversion"/>
  </si>
  <si>
    <t>전주누계</t>
    <phoneticPr fontId="1" type="noConversion"/>
  </si>
  <si>
    <t>금주현황</t>
    <phoneticPr fontId="1" type="noConversion"/>
  </si>
  <si>
    <t>금주누계</t>
    <phoneticPr fontId="1" type="noConversion"/>
  </si>
  <si>
    <t>입금총액(A+B)</t>
    <phoneticPr fontId="1" type="noConversion"/>
  </si>
  <si>
    <t>지   폐</t>
    <phoneticPr fontId="1" type="noConversion"/>
  </si>
  <si>
    <t>원권</t>
    <phoneticPr fontId="1" type="noConversion"/>
  </si>
  <si>
    <t>원권</t>
    <phoneticPr fontId="1" type="noConversion"/>
  </si>
  <si>
    <t>자기앞수표</t>
    <phoneticPr fontId="1" type="noConversion"/>
  </si>
  <si>
    <t>개</t>
    <phoneticPr fontId="1" type="noConversion"/>
  </si>
  <si>
    <t>수표내역</t>
    <phoneticPr fontId="1" type="noConversion"/>
  </si>
  <si>
    <t>주   화</t>
    <phoneticPr fontId="1" type="noConversion"/>
  </si>
  <si>
    <t xml:space="preserve">                 </t>
    <phoneticPr fontId="1" type="noConversion"/>
  </si>
  <si>
    <t>인원</t>
    <phoneticPr fontId="1" type="noConversion"/>
  </si>
  <si>
    <t>구분</t>
    <phoneticPr fontId="1" type="noConversion"/>
  </si>
  <si>
    <t>단위 : 천원</t>
    <phoneticPr fontId="1" type="noConversion"/>
  </si>
  <si>
    <t>금액</t>
    <phoneticPr fontId="1" type="noConversion"/>
  </si>
  <si>
    <t>금액</t>
    <phoneticPr fontId="1" type="noConversion"/>
  </si>
  <si>
    <t>단위:천원</t>
    <phoneticPr fontId="1" type="noConversion"/>
  </si>
  <si>
    <t>헌금 인원</t>
    <phoneticPr fontId="1" type="noConversion"/>
  </si>
  <si>
    <t>헌금액</t>
    <phoneticPr fontId="1" type="noConversion"/>
  </si>
  <si>
    <t>선교헌금</t>
    <phoneticPr fontId="1" type="noConversion"/>
  </si>
  <si>
    <t>복지헌금</t>
    <phoneticPr fontId="1" type="noConversion"/>
  </si>
  <si>
    <t>외국인예배</t>
    <phoneticPr fontId="1" type="noConversion"/>
  </si>
  <si>
    <t>주일학교</t>
    <phoneticPr fontId="1" type="noConversion"/>
  </si>
  <si>
    <t>청년부</t>
    <phoneticPr fontId="1" type="noConversion"/>
  </si>
  <si>
    <t>고등부</t>
    <phoneticPr fontId="1" type="noConversion"/>
  </si>
  <si>
    <t>초등부</t>
    <phoneticPr fontId="1" type="noConversion"/>
  </si>
  <si>
    <t>유치부</t>
    <phoneticPr fontId="1" type="noConversion"/>
  </si>
  <si>
    <t>합계</t>
    <phoneticPr fontId="1" type="noConversion"/>
  </si>
  <si>
    <t>기타수입</t>
    <phoneticPr fontId="1" type="noConversion"/>
  </si>
  <si>
    <t>종류</t>
    <phoneticPr fontId="1" type="noConversion"/>
  </si>
  <si>
    <t>성명</t>
    <phoneticPr fontId="1" type="noConversion"/>
  </si>
  <si>
    <t>종류</t>
    <phoneticPr fontId="1" type="noConversion"/>
  </si>
  <si>
    <t>목회팀 지정헌금</t>
    <phoneticPr fontId="1" type="noConversion"/>
  </si>
  <si>
    <t>예배팀 지정헌금</t>
    <phoneticPr fontId="1" type="noConversion"/>
  </si>
  <si>
    <t>교육팀 지정헌금</t>
    <phoneticPr fontId="1" type="noConversion"/>
  </si>
  <si>
    <t>관리팀 지정헌금</t>
    <phoneticPr fontId="1" type="noConversion"/>
  </si>
  <si>
    <t>봉사팀 지정헌금</t>
    <phoneticPr fontId="1" type="noConversion"/>
  </si>
  <si>
    <t>복지팀 지정헌금</t>
    <phoneticPr fontId="1" type="noConversion"/>
  </si>
  <si>
    <t>굿윌 지정헌금</t>
    <phoneticPr fontId="1" type="noConversion"/>
  </si>
  <si>
    <t>순번</t>
    <phoneticPr fontId="1" type="noConversion"/>
  </si>
  <si>
    <t>계정
과목</t>
    <phoneticPr fontId="1" type="noConversion"/>
  </si>
  <si>
    <t>계정
과목</t>
    <phoneticPr fontId="1" type="noConversion"/>
  </si>
  <si>
    <t>지출구분</t>
    <phoneticPr fontId="1" type="noConversion"/>
  </si>
  <si>
    <t>합계</t>
    <phoneticPr fontId="1" type="noConversion"/>
  </si>
  <si>
    <t>자동이체</t>
    <phoneticPr fontId="1" type="noConversion"/>
  </si>
  <si>
    <t>계좌이체</t>
    <phoneticPr fontId="1" type="noConversion"/>
  </si>
  <si>
    <t>적요</t>
    <phoneticPr fontId="1" type="noConversion"/>
  </si>
  <si>
    <t>지출구분</t>
    <phoneticPr fontId="1" type="noConversion"/>
  </si>
  <si>
    <t>자동이체</t>
    <phoneticPr fontId="1" type="noConversion"/>
  </si>
  <si>
    <t>적요</t>
    <phoneticPr fontId="1" type="noConversion"/>
  </si>
  <si>
    <t>지출구분</t>
    <phoneticPr fontId="1" type="noConversion"/>
  </si>
  <si>
    <t>자동이체</t>
    <phoneticPr fontId="1" type="noConversion"/>
  </si>
  <si>
    <t>계좌이체</t>
    <phoneticPr fontId="1" type="noConversion"/>
  </si>
  <si>
    <t>소계</t>
    <phoneticPr fontId="1" type="noConversion"/>
  </si>
  <si>
    <t>은행명</t>
    <phoneticPr fontId="1" type="noConversion"/>
  </si>
  <si>
    <t>통장입금 헌금 내역</t>
    <phoneticPr fontId="1" type="noConversion"/>
  </si>
  <si>
    <t>발행은행</t>
    <phoneticPr fontId="1" type="noConversion"/>
  </si>
  <si>
    <t>수표번호</t>
    <phoneticPr fontId="1" type="noConversion"/>
  </si>
  <si>
    <t>금 액</t>
    <phoneticPr fontId="1" type="noConversion"/>
  </si>
  <si>
    <t>소  계(B)</t>
    <phoneticPr fontId="1" type="noConversion"/>
  </si>
  <si>
    <t>소  계(A)</t>
    <phoneticPr fontId="1" type="noConversion"/>
  </si>
  <si>
    <t>수   표   류</t>
    <phoneticPr fontId="1" type="noConversion"/>
  </si>
  <si>
    <t>현       금</t>
    <phoneticPr fontId="1" type="noConversion"/>
  </si>
  <si>
    <t>재정부장 :</t>
    <phoneticPr fontId="1" type="noConversion"/>
  </si>
  <si>
    <t>서명</t>
    <phoneticPr fontId="1" type="noConversion"/>
  </si>
  <si>
    <t>유년부</t>
    <phoneticPr fontId="1" type="noConversion"/>
  </si>
  <si>
    <t>지정헌금 집계표 (4/4)</t>
    <phoneticPr fontId="1" type="noConversion"/>
  </si>
  <si>
    <t>헌금 집계표 (1/4)</t>
    <phoneticPr fontId="1" type="noConversion"/>
  </si>
  <si>
    <t>헌금 집계표 (3/4)</t>
    <phoneticPr fontId="1" type="noConversion"/>
  </si>
  <si>
    <t>헌금 집계표 (2/4)</t>
    <phoneticPr fontId="1" type="noConversion"/>
  </si>
  <si>
    <t>합계</t>
    <phoneticPr fontId="1" type="noConversion"/>
  </si>
  <si>
    <t>최창우, 이미자, 박영숙, 송관운, 
김기배, 000, 000</t>
    <phoneticPr fontId="1" type="noConversion"/>
  </si>
  <si>
    <t>구분</t>
    <phoneticPr fontId="1" type="noConversion"/>
  </si>
  <si>
    <t>자동이체 지출</t>
    <phoneticPr fontId="1" type="noConversion"/>
  </si>
  <si>
    <t>계좌송금 지출</t>
    <phoneticPr fontId="1" type="noConversion"/>
  </si>
  <si>
    <t>지출 합계</t>
    <phoneticPr fontId="1" type="noConversion"/>
  </si>
  <si>
    <t>일반헌금 지출</t>
    <phoneticPr fontId="1" type="noConversion"/>
  </si>
  <si>
    <t>지정헌금 지출</t>
    <phoneticPr fontId="1" type="noConversion"/>
  </si>
  <si>
    <t>합계</t>
    <phoneticPr fontId="1" type="noConversion"/>
  </si>
  <si>
    <t>비고</t>
    <phoneticPr fontId="1" type="noConversion"/>
  </si>
  <si>
    <t>주일 헌금액</t>
    <phoneticPr fontId="1" type="noConversion"/>
  </si>
  <si>
    <t>* 일반헌금 지출 = 전체헌금 지출 - 지정헌금 지출</t>
    <phoneticPr fontId="1" type="noConversion"/>
  </si>
  <si>
    <t>회     계</t>
    <phoneticPr fontId="1" type="noConversion"/>
  </si>
  <si>
    <t>헌  금  입  금  확  인  서</t>
    <phoneticPr fontId="1" type="noConversion"/>
  </si>
  <si>
    <t>주간헌금 수입.지출 집계표</t>
    <phoneticPr fontId="1" type="noConversion"/>
  </si>
  <si>
    <t>작업방법</t>
    <phoneticPr fontId="1" type="noConversion"/>
  </si>
  <si>
    <t>기초정보</t>
    <phoneticPr fontId="1" type="noConversion"/>
  </si>
  <si>
    <t>입력일자</t>
    <phoneticPr fontId="1" type="noConversion"/>
  </si>
  <si>
    <t>년</t>
    <phoneticPr fontId="1" type="noConversion"/>
  </si>
  <si>
    <t>월</t>
    <phoneticPr fontId="1" type="noConversion"/>
  </si>
  <si>
    <t>주)</t>
    <phoneticPr fontId="1" type="noConversion"/>
  </si>
  <si>
    <t>일 (</t>
    <phoneticPr fontId="1" type="noConversion"/>
  </si>
  <si>
    <t>일반헌금</t>
    <phoneticPr fontId="33" type="noConversion"/>
  </si>
  <si>
    <t>獻 金  收 入</t>
    <phoneticPr fontId="33" type="noConversion"/>
  </si>
  <si>
    <t>支        出</t>
    <phoneticPr fontId="33" type="noConversion"/>
  </si>
  <si>
    <t>前年度移越金</t>
    <phoneticPr fontId="33" type="noConversion"/>
  </si>
  <si>
    <t>殘        額</t>
    <phoneticPr fontId="33" type="noConversion"/>
  </si>
  <si>
    <t>헌금 계수 재정부원</t>
    <phoneticPr fontId="1" type="noConversion"/>
  </si>
  <si>
    <t>합계인원</t>
    <phoneticPr fontId="1" type="noConversion"/>
  </si>
  <si>
    <t>합계금액</t>
    <phoneticPr fontId="1" type="noConversion"/>
  </si>
  <si>
    <t>비정액수표</t>
    <phoneticPr fontId="1" type="noConversion"/>
  </si>
  <si>
    <t>이백</t>
    <phoneticPr fontId="1" type="noConversion"/>
  </si>
  <si>
    <t>백만</t>
    <phoneticPr fontId="1" type="noConversion"/>
  </si>
  <si>
    <t>오십</t>
    <phoneticPr fontId="1" type="noConversion"/>
  </si>
  <si>
    <t>삼십</t>
    <phoneticPr fontId="1" type="noConversion"/>
  </si>
  <si>
    <t>십만</t>
    <phoneticPr fontId="1" type="noConversion"/>
  </si>
  <si>
    <t>만원</t>
    <phoneticPr fontId="1" type="noConversion"/>
  </si>
  <si>
    <t>천원</t>
    <phoneticPr fontId="1" type="noConversion"/>
  </si>
  <si>
    <t>오백</t>
    <phoneticPr fontId="1" type="noConversion"/>
  </si>
  <si>
    <t>백원</t>
    <phoneticPr fontId="1" type="noConversion"/>
  </si>
  <si>
    <t>십원</t>
    <phoneticPr fontId="1" type="noConversion"/>
  </si>
  <si>
    <t>합계</t>
    <phoneticPr fontId="1" type="noConversion"/>
  </si>
  <si>
    <t>차이</t>
    <phoneticPr fontId="1" type="noConversion"/>
  </si>
  <si>
    <t>주일헌금</t>
    <phoneticPr fontId="1" type="noConversion"/>
  </si>
  <si>
    <t>선교팀 지정헌금</t>
    <phoneticPr fontId="1" type="noConversion"/>
  </si>
  <si>
    <t>오만</t>
    <phoneticPr fontId="1" type="noConversion"/>
  </si>
  <si>
    <t>오천</t>
    <phoneticPr fontId="1" type="noConversion"/>
  </si>
  <si>
    <r>
      <t xml:space="preserve"> </t>
    </r>
    <r>
      <rPr>
        <sz val="11"/>
        <color theme="1"/>
        <rFont val="맑은 고딕"/>
        <family val="3"/>
        <charset val="129"/>
        <scheme val="minor"/>
      </rPr>
      <t>일금</t>
    </r>
    <r>
      <rPr>
        <b/>
        <sz val="11"/>
        <color theme="1"/>
        <rFont val="맑은 고딕"/>
        <family val="3"/>
        <charset val="129"/>
        <scheme val="minor"/>
      </rPr>
      <t/>
    </r>
    <phoneticPr fontId="1" type="noConversion"/>
  </si>
  <si>
    <t>성명</t>
    <phoneticPr fontId="1" type="noConversion"/>
  </si>
  <si>
    <t>금액</t>
    <phoneticPr fontId="1" type="noConversion"/>
  </si>
  <si>
    <t>금고입금액</t>
    <phoneticPr fontId="1" type="noConversion"/>
  </si>
  <si>
    <t>통장헌금액</t>
    <phoneticPr fontId="1" type="noConversion"/>
  </si>
  <si>
    <t>일반헌금명:</t>
    <phoneticPr fontId="1" type="noConversion"/>
  </si>
  <si>
    <t>중등부</t>
    <phoneticPr fontId="1" type="noConversion"/>
  </si>
  <si>
    <t>십일조헌금</t>
    <phoneticPr fontId="1" type="noConversion"/>
  </si>
  <si>
    <t>수표</t>
    <phoneticPr fontId="1" type="noConversion"/>
  </si>
  <si>
    <t>지폐</t>
    <phoneticPr fontId="1" type="noConversion"/>
  </si>
  <si>
    <t>주화</t>
    <phoneticPr fontId="1" type="noConversion"/>
  </si>
  <si>
    <t>지정처</t>
    <phoneticPr fontId="1" type="noConversion"/>
  </si>
  <si>
    <t>금액</t>
    <phoneticPr fontId="1" type="noConversion"/>
  </si>
  <si>
    <t>외국인예배</t>
    <phoneticPr fontId="1" type="noConversion"/>
  </si>
  <si>
    <t>통장헌금</t>
    <phoneticPr fontId="1" type="noConversion"/>
  </si>
  <si>
    <t>헌금 지출 내역(4/4)</t>
    <phoneticPr fontId="1" type="noConversion"/>
  </si>
  <si>
    <t>헌금 지출 내역(3/4)</t>
    <phoneticPr fontId="1" type="noConversion"/>
  </si>
  <si>
    <t>헌금 지출 내역(2/4)</t>
    <phoneticPr fontId="1" type="noConversion"/>
  </si>
  <si>
    <t>헌금 지출 내역(1/4)</t>
    <phoneticPr fontId="1" type="noConversion"/>
  </si>
  <si>
    <t>송금요청서(계좌이체)(4/4)</t>
    <phoneticPr fontId="1" type="noConversion"/>
  </si>
  <si>
    <t>송금요청서(계좌이체)(3/4)</t>
    <phoneticPr fontId="1" type="noConversion"/>
  </si>
  <si>
    <t>송금요청서(계좌이체)(2/4)</t>
    <phoneticPr fontId="1" type="noConversion"/>
  </si>
  <si>
    <t>송금요청서(계좌이체)(1/4)</t>
    <phoneticPr fontId="1" type="noConversion"/>
  </si>
  <si>
    <t>비고</t>
    <phoneticPr fontId="1" type="noConversion"/>
  </si>
  <si>
    <t>감사헌금</t>
    <phoneticPr fontId="1" type="noConversion"/>
  </si>
  <si>
    <t>1. 성도목록.xlsx 파일 및 계좌번호.xlsx 파일 을 먼저 정리합니다.</t>
    <phoneticPr fontId="1" type="noConversion"/>
  </si>
  <si>
    <t>2. 이월 버튼을 클릭하여 모든 데이터의 초기화 및 지난주 데이터를 이월합니다.한 후 폴더내 모든 파일을 USB에 저장합니다.</t>
    <phoneticPr fontId="1" type="noConversion"/>
  </si>
  <si>
    <t xml:space="preserve">3. 감사헌금.xlsm, 십일조.xlsm , 기타헌금.xlsm , 지출내역.xlsm 파일을 담당자에게 전달하여 각각 작업을 진행합니다.  </t>
    <phoneticPr fontId="1" type="noConversion"/>
  </si>
  <si>
    <t>4. 각 담당자는 파일을 열고 초기화 버튼을 누른 후 작업을 진행합니다.</t>
    <phoneticPr fontId="1" type="noConversion"/>
  </si>
  <si>
    <t>5. 완료된 파일을 같은 폴더에 복사 한 후 "자료가져오기" 버튼을 클릭 후 기다리면 자료가 넘어 옵니다.</t>
    <phoneticPr fontId="1" type="noConversion"/>
  </si>
  <si>
    <t>6. 최종 확인하여 이상이 없을 경우 헌금집계표.xlsm 파일을 저장하면 끝납니다.</t>
    <phoneticPr fontId="1" type="noConversion"/>
  </si>
  <si>
    <t>7. 지출내역 파일에서 이체내역.xls 파일을 생성하여 송금 처리.</t>
    <phoneticPr fontId="1" type="noConversion"/>
  </si>
  <si>
    <t>8. 자료가져오기 데이터 이상 시 초기화 버튼을 클릭하여 데이터 초기화합니다. 이 작업은 지난주 자료 이월은 하지 않습니다.</t>
    <phoneticPr fontId="1" type="noConversion"/>
  </si>
</sst>
</file>

<file path=xl/styles.xml><?xml version="1.0" encoding="utf-8"?>
<styleSheet xmlns="http://schemas.openxmlformats.org/spreadsheetml/2006/main">
  <numFmts count="12">
    <numFmt numFmtId="41" formatCode="_-* #,##0_-;\-* #,##0_-;_-* &quot;-&quot;_-;_-@_-"/>
    <numFmt numFmtId="176" formatCode="yyyy&quot;년&quot;\ m&quot;월&quot;\ d&quot;일&quot;;@"/>
    <numFmt numFmtId="177" formatCode="#,##0_ ;[Red]\-#,##0\ "/>
    <numFmt numFmtId="178" formatCode="#,##0_ "/>
    <numFmt numFmtId="179" formatCode="0&quot;명&quot;"/>
    <numFmt numFmtId="180" formatCode="#,##0&quot;원&quot;"/>
    <numFmt numFmtId="181" formatCode="#,##0;[Red]#,##0"/>
    <numFmt numFmtId="182" formatCode="&quot;( &quot;&quot;₩&quot;\ #,##0&quot; )&quot;"/>
    <numFmt numFmtId="183" formatCode="#,###&quot;원&quot;"/>
    <numFmt numFmtId="184" formatCode="#,###"/>
    <numFmt numFmtId="185" formatCode="#,###_ ;[Red]\-#,###\ "/>
    <numFmt numFmtId="186" formatCode="0;[Red]0"/>
  </numFmts>
  <fonts count="45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u/>
      <sz val="11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굴림체"/>
      <family val="3"/>
      <charset val="129"/>
    </font>
    <font>
      <b/>
      <sz val="9"/>
      <color theme="1"/>
      <name val="굴림체"/>
      <family val="3"/>
      <charset val="129"/>
    </font>
    <font>
      <b/>
      <u/>
      <sz val="14"/>
      <color theme="1"/>
      <name val="맑은 고딕"/>
      <family val="3"/>
      <charset val="129"/>
      <scheme val="minor"/>
    </font>
    <font>
      <sz val="16"/>
      <color theme="1"/>
      <name val="맑은 고딕"/>
      <family val="3"/>
      <charset val="129"/>
      <scheme val="minor"/>
    </font>
    <font>
      <u/>
      <sz val="9"/>
      <color theme="1"/>
      <name val="맑은 고딕"/>
      <family val="2"/>
      <charset val="129"/>
      <scheme val="minor"/>
    </font>
    <font>
      <u/>
      <sz val="9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9"/>
      <color theme="1"/>
      <name val="맑은 고딕"/>
      <family val="2"/>
      <charset val="129"/>
      <scheme val="minor"/>
    </font>
    <font>
      <sz val="16"/>
      <color theme="1"/>
      <name val="굴림체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u/>
      <sz val="12"/>
      <color theme="1"/>
      <name val="맑은 고딕"/>
      <family val="3"/>
      <charset val="129"/>
      <scheme val="minor"/>
    </font>
    <font>
      <b/>
      <u/>
      <sz val="16"/>
      <color theme="1"/>
      <name val="굴림체"/>
      <family val="3"/>
      <charset val="129"/>
    </font>
    <font>
      <b/>
      <sz val="11"/>
      <color theme="1"/>
      <name val="바탕"/>
      <family val="1"/>
      <charset val="129"/>
    </font>
    <font>
      <u/>
      <sz val="18"/>
      <color theme="1"/>
      <name val="바탕"/>
      <family val="1"/>
      <charset val="129"/>
    </font>
    <font>
      <b/>
      <u/>
      <sz val="18"/>
      <color theme="1"/>
      <name val="바탕"/>
      <family val="1"/>
      <charset val="129"/>
    </font>
    <font>
      <sz val="12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20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4"/>
      <color theme="1"/>
      <name val="맑은 고딕"/>
      <family val="2"/>
      <charset val="129"/>
      <scheme val="minor"/>
    </font>
    <font>
      <sz val="16"/>
      <color theme="1"/>
      <name val="맑은 고딕"/>
      <family val="2"/>
      <charset val="129"/>
      <scheme val="minor"/>
    </font>
    <font>
      <sz val="14"/>
      <color theme="1"/>
      <name val="맑은 고딕"/>
      <family val="3"/>
      <charset val="129"/>
      <scheme val="minor"/>
    </font>
    <font>
      <b/>
      <sz val="20"/>
      <name val="굴림체"/>
      <family val="3"/>
      <charset val="129"/>
    </font>
    <font>
      <sz val="8"/>
      <name val="돋움"/>
      <family val="3"/>
      <charset val="129"/>
    </font>
    <font>
      <b/>
      <sz val="10"/>
      <name val="굴림체"/>
      <family val="3"/>
      <charset val="129"/>
    </font>
    <font>
      <sz val="9"/>
      <name val="맑은 고딕"/>
      <family val="3"/>
      <charset val="129"/>
      <scheme val="minor"/>
    </font>
    <font>
      <b/>
      <sz val="18"/>
      <color theme="1"/>
      <name val="바탕"/>
      <family val="1"/>
      <charset val="129"/>
    </font>
    <font>
      <sz val="8"/>
      <color theme="1"/>
      <name val="맑은 고딕"/>
      <family val="2"/>
      <charset val="129"/>
      <scheme val="minor"/>
    </font>
    <font>
      <b/>
      <sz val="8"/>
      <name val="맑은 고딕"/>
      <family val="3"/>
      <charset val="129"/>
      <scheme val="minor"/>
    </font>
    <font>
      <b/>
      <sz val="8"/>
      <color theme="1"/>
      <name val="맑은 고딕"/>
      <family val="3"/>
      <charset val="129"/>
      <scheme val="minor"/>
    </font>
    <font>
      <b/>
      <sz val="22"/>
      <color theme="1"/>
      <name val="맑은 고딕"/>
      <family val="3"/>
      <charset val="129"/>
      <scheme val="minor"/>
    </font>
    <font>
      <sz val="9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굴림체"/>
      <family val="3"/>
      <charset val="129"/>
    </font>
    <font>
      <sz val="8"/>
      <color theme="1"/>
      <name val="맑은 고딕"/>
      <family val="3"/>
      <charset val="129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E799"/>
        <bgColor rgb="FF000000"/>
      </patternFill>
    </fill>
    <fill>
      <patternFill patternType="solid">
        <fgColor rgb="FFDEEBF6"/>
        <bgColor rgb="FF000000"/>
      </patternFill>
    </fill>
    <fill>
      <patternFill patternType="solid">
        <fgColor rgb="FFFBE4D5"/>
        <bgColor rgb="FF000000"/>
      </patternFill>
    </fill>
    <fill>
      <patternFill patternType="solid">
        <fgColor rgb="FFE2EFD9"/>
        <bgColor rgb="FF000000"/>
      </patternFill>
    </fill>
    <fill>
      <patternFill patternType="solid">
        <fgColor theme="9" tint="0.59999389629810485"/>
        <bgColor indexed="64"/>
      </patternFill>
    </fill>
  </fills>
  <borders count="1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dotted">
        <color auto="1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hair">
        <color indexed="64"/>
      </left>
      <right style="dotted">
        <color indexed="64"/>
      </right>
      <top style="hair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hair">
        <color indexed="64"/>
      </top>
      <bottom style="dotted">
        <color indexed="64"/>
      </bottom>
      <diagonal/>
    </border>
    <border>
      <left style="dotted">
        <color indexed="64"/>
      </left>
      <right style="hair">
        <color indexed="64"/>
      </right>
      <top style="hair">
        <color indexed="64"/>
      </top>
      <bottom style="dotted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/>
      <right style="dotted">
        <color indexed="64"/>
      </right>
      <top style="hair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hair">
        <color indexed="64"/>
      </bottom>
      <diagonal/>
    </border>
    <border>
      <left style="hair">
        <color indexed="64"/>
      </left>
      <right/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 style="hair">
        <color indexed="64"/>
      </left>
      <right/>
      <top style="dotted">
        <color indexed="64"/>
      </top>
      <bottom style="hair">
        <color indexed="64"/>
      </bottom>
      <diagonal/>
    </border>
    <border>
      <left/>
      <right/>
      <top style="dotted">
        <color indexed="64"/>
      </top>
      <bottom style="hair">
        <color indexed="64"/>
      </bottom>
      <diagonal/>
    </border>
    <border>
      <left/>
      <right style="hair">
        <color indexed="64"/>
      </right>
      <top style="dotted">
        <color indexed="64"/>
      </top>
      <bottom style="dotted">
        <color indexed="64"/>
      </bottom>
      <diagonal/>
    </border>
    <border>
      <left/>
      <right style="hair">
        <color indexed="64"/>
      </right>
      <top style="dotted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/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hair">
        <color indexed="64"/>
      </right>
      <top style="double">
        <color indexed="64"/>
      </top>
      <bottom/>
      <diagonal/>
    </border>
    <border>
      <left style="hair">
        <color indexed="64"/>
      </left>
      <right style="hair">
        <color indexed="64"/>
      </right>
      <top style="double">
        <color indexed="64"/>
      </top>
      <bottom/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double">
        <color indexed="64"/>
      </bottom>
      <diagonal/>
    </border>
    <border>
      <left style="hair">
        <color indexed="64"/>
      </left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hair">
        <color indexed="64"/>
      </top>
      <bottom/>
      <diagonal/>
    </border>
    <border>
      <left/>
      <right style="double">
        <color indexed="64"/>
      </right>
      <top style="hair">
        <color indexed="64"/>
      </top>
      <bottom style="double">
        <color indexed="64"/>
      </bottom>
      <diagonal/>
    </border>
    <border>
      <left style="double">
        <color indexed="64"/>
      </left>
      <right/>
      <top style="hair">
        <color indexed="64"/>
      </top>
      <bottom style="double">
        <color indexed="64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double">
        <color indexed="64"/>
      </left>
      <right/>
      <top/>
      <bottom style="hair">
        <color indexed="64"/>
      </bottom>
      <diagonal/>
    </border>
    <border>
      <left style="double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/>
      <diagonal/>
    </border>
    <border>
      <left style="hair">
        <color indexed="64"/>
      </left>
      <right/>
      <top style="double">
        <color indexed="64"/>
      </top>
      <bottom/>
      <diagonal/>
    </border>
    <border>
      <left style="thin">
        <color indexed="64"/>
      </left>
      <right style="hair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</borders>
  <cellStyleXfs count="2">
    <xf numFmtId="0" fontId="0" fillId="0" borderId="0">
      <alignment vertical="center"/>
    </xf>
    <xf numFmtId="41" fontId="28" fillId="0" borderId="0" applyFont="0" applyFill="0" applyBorder="0" applyAlignment="0" applyProtection="0">
      <alignment vertical="center"/>
    </xf>
  </cellStyleXfs>
  <cellXfs count="423">
    <xf numFmtId="0" fontId="0" fillId="0" borderId="0" xfId="0">
      <alignment vertical="center"/>
    </xf>
    <xf numFmtId="0" fontId="0" fillId="0" borderId="1" xfId="0" applyBorder="1">
      <alignment vertical="center"/>
    </xf>
    <xf numFmtId="0" fontId="6" fillId="0" borderId="0" xfId="0" applyFont="1">
      <alignment vertical="center"/>
    </xf>
    <xf numFmtId="176" fontId="7" fillId="0" borderId="0" xfId="0" applyNumberFormat="1" applyFont="1" applyBorder="1" applyAlignment="1">
      <alignment horizontal="center" vertical="center"/>
    </xf>
    <xf numFmtId="0" fontId="6" fillId="0" borderId="1" xfId="0" applyFont="1" applyBorder="1">
      <alignment vertical="center"/>
    </xf>
    <xf numFmtId="0" fontId="0" fillId="0" borderId="1" xfId="0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vertical="center"/>
    </xf>
    <xf numFmtId="0" fontId="6" fillId="0" borderId="1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6" fillId="0" borderId="0" xfId="0" applyFont="1" applyBorder="1">
      <alignment vertical="center"/>
    </xf>
    <xf numFmtId="0" fontId="14" fillId="0" borderId="0" xfId="0" applyFont="1" applyAlignment="1">
      <alignment vertical="center"/>
    </xf>
    <xf numFmtId="0" fontId="20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14" fillId="0" borderId="41" xfId="0" applyFont="1" applyBorder="1" applyAlignment="1">
      <alignment horizontal="left" vertical="center"/>
    </xf>
    <xf numFmtId="0" fontId="14" fillId="0" borderId="41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31" fillId="0" borderId="0" xfId="0" applyFont="1">
      <alignment vertical="center"/>
    </xf>
    <xf numFmtId="177" fontId="34" fillId="8" borderId="62" xfId="0" applyNumberFormat="1" applyFont="1" applyFill="1" applyBorder="1" applyAlignment="1" applyProtection="1">
      <alignment horizontal="center" vertical="center"/>
    </xf>
    <xf numFmtId="177" fontId="34" fillId="8" borderId="65" xfId="0" applyNumberFormat="1" applyFont="1" applyFill="1" applyBorder="1" applyAlignment="1" applyProtection="1">
      <alignment horizontal="center" vertical="center"/>
    </xf>
    <xf numFmtId="0" fontId="29" fillId="0" borderId="0" xfId="0" applyFont="1" applyAlignment="1">
      <alignment horizontal="center" vertical="center"/>
    </xf>
    <xf numFmtId="0" fontId="23" fillId="0" borderId="0" xfId="0" applyFont="1" applyAlignment="1">
      <alignment horizontal="left" vertical="center"/>
    </xf>
    <xf numFmtId="41" fontId="0" fillId="0" borderId="1" xfId="1" applyFont="1" applyBorder="1" applyAlignment="1">
      <alignment horizontal="right" vertical="center"/>
    </xf>
    <xf numFmtId="41" fontId="0" fillId="0" borderId="1" xfId="1" applyFont="1" applyBorder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25" fillId="0" borderId="0" xfId="0" applyFont="1">
      <alignment vertical="center"/>
    </xf>
    <xf numFmtId="0" fontId="26" fillId="0" borderId="0" xfId="0" applyFont="1">
      <alignment vertical="center"/>
    </xf>
    <xf numFmtId="0" fontId="37" fillId="9" borderId="80" xfId="0" applyFont="1" applyFill="1" applyBorder="1" applyAlignment="1">
      <alignment horizontal="center" vertical="center"/>
    </xf>
    <xf numFmtId="0" fontId="37" fillId="9" borderId="81" xfId="0" applyFont="1" applyFill="1" applyBorder="1" applyAlignment="1">
      <alignment horizontal="center" vertical="center"/>
    </xf>
    <xf numFmtId="0" fontId="37" fillId="10" borderId="102" xfId="0" applyFont="1" applyFill="1" applyBorder="1" applyAlignment="1">
      <alignment horizontal="center" vertical="center"/>
    </xf>
    <xf numFmtId="0" fontId="37" fillId="5" borderId="102" xfId="0" applyFont="1" applyFill="1" applyBorder="1" applyAlignment="1">
      <alignment horizontal="center" vertical="center"/>
    </xf>
    <xf numFmtId="0" fontId="38" fillId="9" borderId="94" xfId="0" applyFont="1" applyFill="1" applyBorder="1" applyAlignment="1" applyProtection="1">
      <alignment horizontal="center" vertical="center"/>
    </xf>
    <xf numFmtId="0" fontId="38" fillId="9" borderId="92" xfId="0" applyFont="1" applyFill="1" applyBorder="1" applyAlignment="1" applyProtection="1">
      <alignment horizontal="center" vertical="center"/>
    </xf>
    <xf numFmtId="0" fontId="38" fillId="9" borderId="79" xfId="0" applyFont="1" applyFill="1" applyBorder="1" applyAlignment="1" applyProtection="1">
      <alignment horizontal="center" vertical="center"/>
    </xf>
    <xf numFmtId="181" fontId="38" fillId="9" borderId="92" xfId="0" applyNumberFormat="1" applyFont="1" applyFill="1" applyBorder="1" applyAlignment="1" applyProtection="1">
      <alignment horizontal="center" vertical="center"/>
    </xf>
    <xf numFmtId="181" fontId="38" fillId="9" borderId="79" xfId="0" applyNumberFormat="1" applyFont="1" applyFill="1" applyBorder="1" applyAlignment="1" applyProtection="1">
      <alignment horizontal="center" vertical="center"/>
    </xf>
    <xf numFmtId="0" fontId="38" fillId="9" borderId="92" xfId="0" applyNumberFormat="1" applyFont="1" applyFill="1" applyBorder="1" applyAlignment="1" applyProtection="1">
      <alignment horizontal="center" vertical="center"/>
      <protection locked="0"/>
    </xf>
    <xf numFmtId="0" fontId="38" fillId="9" borderId="79" xfId="0" applyNumberFormat="1" applyFont="1" applyFill="1" applyBorder="1" applyAlignment="1" applyProtection="1">
      <alignment horizontal="center" vertical="center"/>
      <protection locked="0"/>
    </xf>
    <xf numFmtId="0" fontId="38" fillId="9" borderId="79" xfId="0" applyNumberFormat="1" applyFont="1" applyFill="1" applyBorder="1" applyAlignment="1" applyProtection="1">
      <alignment horizontal="center" vertical="center"/>
    </xf>
    <xf numFmtId="0" fontId="39" fillId="9" borderId="92" xfId="0" applyFont="1" applyFill="1" applyBorder="1" applyAlignment="1">
      <alignment horizontal="center" vertical="center"/>
    </xf>
    <xf numFmtId="0" fontId="39" fillId="9" borderId="91" xfId="0" applyFont="1" applyFill="1" applyBorder="1" applyAlignment="1">
      <alignment horizontal="center" vertical="center"/>
    </xf>
    <xf numFmtId="0" fontId="39" fillId="9" borderId="82" xfId="0" applyFont="1" applyFill="1" applyBorder="1" applyAlignment="1">
      <alignment horizontal="center" vertical="center"/>
    </xf>
    <xf numFmtId="181" fontId="38" fillId="11" borderId="93" xfId="0" applyNumberFormat="1" applyFont="1" applyFill="1" applyBorder="1" applyAlignment="1" applyProtection="1">
      <alignment horizontal="center" vertical="center"/>
    </xf>
    <xf numFmtId="177" fontId="14" fillId="11" borderId="89" xfId="0" applyNumberFormat="1" applyFont="1" applyFill="1" applyBorder="1" applyAlignment="1">
      <alignment horizontal="right" vertical="center"/>
    </xf>
    <xf numFmtId="0" fontId="4" fillId="3" borderId="5" xfId="0" applyFont="1" applyFill="1" applyBorder="1" applyAlignment="1">
      <alignment vertical="center"/>
    </xf>
    <xf numFmtId="0" fontId="4" fillId="3" borderId="18" xfId="0" applyFont="1" applyFill="1" applyBorder="1" applyAlignment="1">
      <alignment vertical="center"/>
    </xf>
    <xf numFmtId="0" fontId="4" fillId="3" borderId="5" xfId="0" applyFont="1" applyFill="1" applyBorder="1" applyAlignment="1">
      <alignment horizontal="right" vertical="center"/>
    </xf>
    <xf numFmtId="0" fontId="4" fillId="3" borderId="18" xfId="0" applyFont="1" applyFill="1" applyBorder="1" applyAlignment="1">
      <alignment horizontal="right" vertical="center"/>
    </xf>
    <xf numFmtId="184" fontId="14" fillId="10" borderId="97" xfId="0" applyNumberFormat="1" applyFont="1" applyFill="1" applyBorder="1" applyAlignment="1">
      <alignment horizontal="right" vertical="center"/>
    </xf>
    <xf numFmtId="184" fontId="14" fillId="7" borderId="83" xfId="0" applyNumberFormat="1" applyFont="1" applyFill="1" applyBorder="1" applyAlignment="1">
      <alignment horizontal="right" vertical="center"/>
    </xf>
    <xf numFmtId="184" fontId="14" fillId="7" borderId="86" xfId="0" applyNumberFormat="1" applyFont="1" applyFill="1" applyBorder="1" applyAlignment="1">
      <alignment horizontal="right" vertical="center"/>
    </xf>
    <xf numFmtId="184" fontId="14" fillId="7" borderId="87" xfId="0" applyNumberFormat="1" applyFont="1" applyFill="1" applyBorder="1" applyAlignment="1">
      <alignment horizontal="right" vertical="center"/>
    </xf>
    <xf numFmtId="184" fontId="14" fillId="6" borderId="96" xfId="0" applyNumberFormat="1" applyFont="1" applyFill="1" applyBorder="1" applyAlignment="1">
      <alignment horizontal="right" vertical="center"/>
    </xf>
    <xf numFmtId="184" fontId="14" fillId="6" borderId="86" xfId="0" applyNumberFormat="1" applyFont="1" applyFill="1" applyBorder="1" applyAlignment="1">
      <alignment horizontal="right" vertical="center"/>
    </xf>
    <xf numFmtId="184" fontId="14" fillId="6" borderId="98" xfId="0" applyNumberFormat="1" applyFont="1" applyFill="1" applyBorder="1" applyAlignment="1">
      <alignment horizontal="right" vertical="center"/>
    </xf>
    <xf numFmtId="184" fontId="14" fillId="3" borderId="83" xfId="0" applyNumberFormat="1" applyFont="1" applyFill="1" applyBorder="1" applyAlignment="1">
      <alignment horizontal="right" vertical="center"/>
    </xf>
    <xf numFmtId="184" fontId="14" fillId="3" borderId="87" xfId="0" applyNumberFormat="1" applyFont="1" applyFill="1" applyBorder="1" applyAlignment="1">
      <alignment horizontal="right" vertical="center"/>
    </xf>
    <xf numFmtId="184" fontId="14" fillId="5" borderId="97" xfId="0" applyNumberFormat="1" applyFont="1" applyFill="1" applyBorder="1" applyAlignment="1">
      <alignment horizontal="right" vertical="center"/>
    </xf>
    <xf numFmtId="184" fontId="14" fillId="5" borderId="103" xfId="0" applyNumberFormat="1" applyFont="1" applyFill="1" applyBorder="1" applyAlignment="1">
      <alignment horizontal="right" vertical="center"/>
    </xf>
    <xf numFmtId="184" fontId="14" fillId="5" borderId="78" xfId="0" applyNumberFormat="1" applyFont="1" applyFill="1" applyBorder="1" applyAlignment="1">
      <alignment horizontal="right" vertical="center"/>
    </xf>
    <xf numFmtId="184" fontId="14" fillId="11" borderId="78" xfId="0" applyNumberFormat="1" applyFont="1" applyFill="1" applyBorder="1" applyAlignment="1">
      <alignment horizontal="right" vertical="center"/>
    </xf>
    <xf numFmtId="184" fontId="14" fillId="5" borderId="72" xfId="0" applyNumberFormat="1" applyFont="1" applyFill="1" applyBorder="1" applyAlignment="1">
      <alignment horizontal="right" vertical="center"/>
    </xf>
    <xf numFmtId="185" fontId="14" fillId="9" borderId="95" xfId="0" applyNumberFormat="1" applyFont="1" applyFill="1" applyBorder="1" applyAlignment="1">
      <alignment horizontal="right" vertical="center"/>
    </xf>
    <xf numFmtId="185" fontId="14" fillId="9" borderId="89" xfId="0" applyNumberFormat="1" applyFont="1" applyFill="1" applyBorder="1" applyAlignment="1">
      <alignment horizontal="right" vertical="center"/>
    </xf>
    <xf numFmtId="185" fontId="14" fillId="9" borderId="90" xfId="0" applyNumberFormat="1" applyFont="1" applyFill="1" applyBorder="1" applyAlignment="1">
      <alignment horizontal="right" vertical="center"/>
    </xf>
    <xf numFmtId="185" fontId="14" fillId="9" borderId="88" xfId="0" applyNumberFormat="1" applyFont="1" applyFill="1" applyBorder="1" applyAlignment="1">
      <alignment horizontal="right" vertical="center"/>
    </xf>
    <xf numFmtId="0" fontId="6" fillId="0" borderId="1" xfId="0" applyFont="1" applyBorder="1" applyAlignment="1">
      <alignment horizontal="center" vertical="center"/>
    </xf>
    <xf numFmtId="49" fontId="43" fillId="0" borderId="0" xfId="0" applyNumberFormat="1" applyFont="1" applyFill="1" applyBorder="1" applyAlignment="1" applyProtection="1">
      <alignment horizontal="center" vertical="center"/>
      <protection locked="0"/>
    </xf>
    <xf numFmtId="186" fontId="43" fillId="0" borderId="0" xfId="0" applyNumberFormat="1" applyFont="1" applyFill="1" applyBorder="1" applyAlignment="1" applyProtection="1">
      <alignment horizontal="center" vertical="center"/>
      <protection locked="0"/>
    </xf>
    <xf numFmtId="0" fontId="0" fillId="0" borderId="18" xfId="0" applyBorder="1" applyAlignment="1">
      <alignment vertical="center"/>
    </xf>
    <xf numFmtId="0" fontId="6" fillId="0" borderId="18" xfId="0" applyFont="1" applyBorder="1">
      <alignment vertical="center"/>
    </xf>
    <xf numFmtId="0" fontId="0" fillId="0" borderId="1" xfId="0" applyBorder="1" applyAlignment="1">
      <alignment horizontal="center" vertical="center"/>
    </xf>
    <xf numFmtId="41" fontId="6" fillId="0" borderId="1" xfId="1" applyFont="1" applyBorder="1" applyAlignment="1">
      <alignment horizontal="center" vertical="center"/>
    </xf>
    <xf numFmtId="0" fontId="44" fillId="0" borderId="1" xfId="0" applyFont="1" applyBorder="1" applyAlignment="1">
      <alignment horizontal="center" vertical="center"/>
    </xf>
    <xf numFmtId="0" fontId="37" fillId="0" borderId="1" xfId="0" applyFont="1" applyBorder="1" applyAlignment="1">
      <alignment horizontal="center" vertical="center"/>
    </xf>
    <xf numFmtId="0" fontId="37" fillId="7" borderId="84" xfId="0" applyFont="1" applyFill="1" applyBorder="1" applyAlignment="1">
      <alignment horizontal="center" vertical="center"/>
    </xf>
    <xf numFmtId="0" fontId="37" fillId="7" borderId="85" xfId="0" applyFont="1" applyFill="1" applyBorder="1" applyAlignment="1">
      <alignment horizontal="center" vertical="center"/>
    </xf>
    <xf numFmtId="0" fontId="37" fillId="7" borderId="100" xfId="0" applyFont="1" applyFill="1" applyBorder="1" applyAlignment="1">
      <alignment horizontal="center" vertical="center"/>
    </xf>
    <xf numFmtId="0" fontId="37" fillId="6" borderId="101" xfId="0" applyFont="1" applyFill="1" applyBorder="1" applyAlignment="1">
      <alignment horizontal="center" vertical="center"/>
    </xf>
    <xf numFmtId="0" fontId="37" fillId="6" borderId="85" xfId="0" applyFont="1" applyFill="1" applyBorder="1" applyAlignment="1">
      <alignment horizontal="center" vertical="center"/>
    </xf>
    <xf numFmtId="0" fontId="37" fillId="6" borderId="99" xfId="0" applyFont="1" applyFill="1" applyBorder="1" applyAlignment="1">
      <alignment horizontal="center" vertical="center"/>
    </xf>
    <xf numFmtId="0" fontId="37" fillId="3" borderId="84" xfId="0" applyFont="1" applyFill="1" applyBorder="1" applyAlignment="1">
      <alignment horizontal="center" vertical="center"/>
    </xf>
    <xf numFmtId="0" fontId="37" fillId="3" borderId="85" xfId="0" applyFont="1" applyFill="1" applyBorder="1" applyAlignment="1">
      <alignment horizontal="center" vertical="center"/>
    </xf>
    <xf numFmtId="0" fontId="37" fillId="3" borderId="100" xfId="0" applyFont="1" applyFill="1" applyBorder="1" applyAlignment="1">
      <alignment horizontal="center" vertical="center"/>
    </xf>
    <xf numFmtId="49" fontId="35" fillId="0" borderId="0" xfId="0" applyNumberFormat="1" applyFont="1" applyFill="1" applyBorder="1" applyAlignment="1" applyProtection="1">
      <alignment vertical="center"/>
      <protection locked="0"/>
    </xf>
    <xf numFmtId="186" fontId="35" fillId="0" borderId="0" xfId="0" applyNumberFormat="1" applyFont="1" applyFill="1" applyBorder="1" applyAlignment="1" applyProtection="1">
      <alignment vertical="center"/>
      <protection locked="0"/>
    </xf>
    <xf numFmtId="41" fontId="14" fillId="0" borderId="1" xfId="1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41" fontId="0" fillId="0" borderId="0" xfId="1" applyFont="1" applyBorder="1" applyAlignment="1">
      <alignment horizontal="right" vertical="center"/>
    </xf>
    <xf numFmtId="0" fontId="0" fillId="0" borderId="0" xfId="0" applyBorder="1" applyAlignment="1">
      <alignment horizontal="center" vertical="center"/>
    </xf>
    <xf numFmtId="41" fontId="0" fillId="0" borderId="0" xfId="1" applyFont="1">
      <alignment vertical="center"/>
    </xf>
    <xf numFmtId="41" fontId="0" fillId="0" borderId="0" xfId="1" applyFont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9" fontId="0" fillId="0" borderId="0" xfId="0" applyNumberFormat="1" applyBorder="1" applyAlignment="1">
      <alignment horizontal="center" vertical="center"/>
    </xf>
    <xf numFmtId="49" fontId="0" fillId="0" borderId="0" xfId="0" applyNumberFormat="1">
      <alignment vertical="center"/>
    </xf>
    <xf numFmtId="0" fontId="37" fillId="0" borderId="0" xfId="0" applyFont="1">
      <alignment vertical="center"/>
    </xf>
    <xf numFmtId="0" fontId="44" fillId="0" borderId="0" xfId="0" applyFont="1" applyBorder="1" applyAlignment="1">
      <alignment horizontal="center" vertical="center"/>
    </xf>
    <xf numFmtId="0" fontId="31" fillId="4" borderId="0" xfId="0" applyFont="1" applyFill="1" applyProtection="1">
      <alignment vertical="center"/>
      <protection locked="0"/>
    </xf>
    <xf numFmtId="0" fontId="6" fillId="0" borderId="1" xfId="0" applyFont="1" applyBorder="1" applyAlignment="1" applyProtection="1">
      <alignment horizontal="center" vertical="center"/>
      <protection locked="0"/>
    </xf>
    <xf numFmtId="0" fontId="14" fillId="0" borderId="1" xfId="0" applyFont="1" applyBorder="1" applyProtection="1">
      <alignment vertical="center"/>
      <protection locked="0"/>
    </xf>
    <xf numFmtId="41" fontId="14" fillId="0" borderId="1" xfId="1" applyFont="1" applyBorder="1" applyAlignment="1" applyProtection="1">
      <alignment horizontal="center" vertical="center"/>
      <protection locked="0"/>
    </xf>
    <xf numFmtId="0" fontId="14" fillId="0" borderId="1" xfId="0" applyFont="1" applyBorder="1" applyAlignment="1" applyProtection="1">
      <alignment horizontal="center" vertical="center"/>
      <protection locked="0"/>
    </xf>
    <xf numFmtId="0" fontId="14" fillId="0" borderId="33" xfId="0" applyFont="1" applyFill="1" applyBorder="1" applyProtection="1">
      <alignment vertical="center"/>
      <protection locked="0"/>
    </xf>
    <xf numFmtId="0" fontId="14" fillId="0" borderId="2" xfId="0" applyFont="1" applyBorder="1" applyAlignment="1" applyProtection="1">
      <alignment horizontal="center" vertical="center"/>
      <protection locked="0"/>
    </xf>
    <xf numFmtId="0" fontId="14" fillId="0" borderId="2" xfId="0" applyFont="1" applyBorder="1" applyAlignment="1" applyProtection="1">
      <alignment horizontal="center" vertical="center" wrapText="1"/>
      <protection locked="0"/>
    </xf>
    <xf numFmtId="41" fontId="14" fillId="0" borderId="2" xfId="1" applyFont="1" applyBorder="1" applyAlignment="1" applyProtection="1">
      <alignment horizontal="center" vertical="center"/>
      <protection locked="0"/>
    </xf>
    <xf numFmtId="0" fontId="6" fillId="0" borderId="1" xfId="0" applyFont="1" applyBorder="1" applyProtection="1">
      <alignment vertical="center"/>
      <protection locked="0"/>
    </xf>
    <xf numFmtId="41" fontId="6" fillId="0" borderId="1" xfId="1" applyFont="1" applyBorder="1" applyProtection="1">
      <alignment vertical="center"/>
      <protection locked="0"/>
    </xf>
    <xf numFmtId="49" fontId="6" fillId="0" borderId="1" xfId="0" applyNumberFormat="1" applyFont="1" applyBorder="1" applyAlignment="1" applyProtection="1">
      <alignment horizontal="center" vertical="center"/>
      <protection locked="0"/>
    </xf>
    <xf numFmtId="41" fontId="6" fillId="0" borderId="1" xfId="1" applyFont="1" applyBorder="1" applyAlignment="1" applyProtection="1">
      <alignment horizontal="center" vertical="center"/>
      <protection locked="0"/>
    </xf>
    <xf numFmtId="49" fontId="44" fillId="0" borderId="1" xfId="0" applyNumberFormat="1" applyFont="1" applyBorder="1" applyAlignment="1" applyProtection="1">
      <alignment horizontal="center" vertical="center"/>
      <protection locked="0"/>
    </xf>
    <xf numFmtId="177" fontId="41" fillId="12" borderId="103" xfId="0" applyNumberFormat="1" applyFont="1" applyFill="1" applyBorder="1" applyAlignment="1" applyProtection="1">
      <alignment vertical="center"/>
      <protection locked="0"/>
    </xf>
    <xf numFmtId="177" fontId="42" fillId="13" borderId="112" xfId="0" applyNumberFormat="1" applyFont="1" applyFill="1" applyBorder="1" applyAlignment="1" applyProtection="1">
      <alignment vertical="center"/>
      <protection locked="0"/>
    </xf>
    <xf numFmtId="177" fontId="42" fillId="13" borderId="113" xfId="0" applyNumberFormat="1" applyFont="1" applyFill="1" applyBorder="1" applyAlignment="1" applyProtection="1">
      <alignment vertical="center"/>
      <protection locked="0"/>
    </xf>
    <xf numFmtId="177" fontId="42" fillId="13" borderId="114" xfId="0" applyNumberFormat="1" applyFont="1" applyFill="1" applyBorder="1" applyAlignment="1" applyProtection="1">
      <alignment vertical="center"/>
      <protection locked="0"/>
    </xf>
    <xf numFmtId="177" fontId="42" fillId="14" borderId="115" xfId="0" applyNumberFormat="1" applyFont="1" applyFill="1" applyBorder="1" applyAlignment="1" applyProtection="1">
      <alignment vertical="center"/>
      <protection locked="0"/>
    </xf>
    <xf numFmtId="177" fontId="42" fillId="14" borderId="113" xfId="0" applyNumberFormat="1" applyFont="1" applyFill="1" applyBorder="1" applyAlignment="1" applyProtection="1">
      <alignment vertical="center"/>
      <protection locked="0"/>
    </xf>
    <xf numFmtId="177" fontId="42" fillId="14" borderId="116" xfId="0" applyNumberFormat="1" applyFont="1" applyFill="1" applyBorder="1" applyAlignment="1" applyProtection="1">
      <alignment vertical="center"/>
      <protection locked="0"/>
    </xf>
    <xf numFmtId="177" fontId="42" fillId="15" borderId="112" xfId="0" applyNumberFormat="1" applyFont="1" applyFill="1" applyBorder="1" applyAlignment="1" applyProtection="1">
      <alignment vertical="center"/>
      <protection locked="0"/>
    </xf>
    <xf numFmtId="177" fontId="42" fillId="15" borderId="113" xfId="0" applyNumberFormat="1" applyFont="1" applyFill="1" applyBorder="1" applyAlignment="1" applyProtection="1">
      <alignment vertical="center"/>
      <protection locked="0"/>
    </xf>
    <xf numFmtId="177" fontId="42" fillId="15" borderId="116" xfId="0" applyNumberFormat="1" applyFont="1" applyFill="1" applyBorder="1" applyAlignment="1" applyProtection="1">
      <alignment vertical="center"/>
      <protection locked="0"/>
    </xf>
    <xf numFmtId="177" fontId="41" fillId="12" borderId="78" xfId="0" applyNumberFormat="1" applyFont="1" applyFill="1" applyBorder="1" applyAlignment="1" applyProtection="1">
      <alignment vertical="center"/>
      <protection locked="0"/>
    </xf>
    <xf numFmtId="177" fontId="42" fillId="13" borderId="76" xfId="0" applyNumberFormat="1" applyFont="1" applyFill="1" applyBorder="1" applyAlignment="1" applyProtection="1">
      <alignment vertical="center"/>
      <protection locked="0"/>
    </xf>
    <xf numFmtId="177" fontId="42" fillId="13" borderId="64" xfId="0" applyNumberFormat="1" applyFont="1" applyFill="1" applyBorder="1" applyAlignment="1" applyProtection="1">
      <alignment vertical="center"/>
      <protection locked="0"/>
    </xf>
    <xf numFmtId="177" fontId="42" fillId="13" borderId="66" xfId="0" applyNumberFormat="1" applyFont="1" applyFill="1" applyBorder="1" applyAlignment="1" applyProtection="1">
      <alignment vertical="center"/>
      <protection locked="0"/>
    </xf>
    <xf numFmtId="177" fontId="42" fillId="14" borderId="62" xfId="0" applyNumberFormat="1" applyFont="1" applyFill="1" applyBorder="1" applyAlignment="1" applyProtection="1">
      <alignment vertical="center"/>
      <protection locked="0"/>
    </xf>
    <xf numFmtId="177" fontId="42" fillId="14" borderId="64" xfId="0" applyNumberFormat="1" applyFont="1" applyFill="1" applyBorder="1" applyAlignment="1" applyProtection="1">
      <alignment vertical="center"/>
      <protection locked="0"/>
    </xf>
    <xf numFmtId="177" fontId="42" fillId="14" borderId="63" xfId="0" applyNumberFormat="1" applyFont="1" applyFill="1" applyBorder="1" applyAlignment="1" applyProtection="1">
      <alignment vertical="center"/>
      <protection locked="0"/>
    </xf>
    <xf numFmtId="177" fontId="42" fillId="15" borderId="76" xfId="0" applyNumberFormat="1" applyFont="1" applyFill="1" applyBorder="1" applyAlignment="1" applyProtection="1">
      <alignment vertical="center"/>
      <protection locked="0"/>
    </xf>
    <xf numFmtId="177" fontId="42" fillId="15" borderId="64" xfId="0" applyNumberFormat="1" applyFont="1" applyFill="1" applyBorder="1" applyAlignment="1" applyProtection="1">
      <alignment vertical="center"/>
      <protection locked="0"/>
    </xf>
    <xf numFmtId="177" fontId="42" fillId="15" borderId="63" xfId="0" applyNumberFormat="1" applyFont="1" applyFill="1" applyBorder="1" applyAlignment="1" applyProtection="1">
      <alignment vertical="center"/>
      <protection locked="0"/>
    </xf>
    <xf numFmtId="177" fontId="41" fillId="12" borderId="104" xfId="0" applyNumberFormat="1" applyFont="1" applyFill="1" applyBorder="1" applyAlignment="1" applyProtection="1">
      <alignment vertical="center"/>
      <protection locked="0"/>
    </xf>
    <xf numFmtId="177" fontId="42" fillId="13" borderId="105" xfId="0" applyNumberFormat="1" applyFont="1" applyFill="1" applyBorder="1" applyAlignment="1" applyProtection="1">
      <alignment vertical="center"/>
      <protection locked="0"/>
    </xf>
    <xf numFmtId="177" fontId="42" fillId="13" borderId="106" xfId="0" applyNumberFormat="1" applyFont="1" applyFill="1" applyBorder="1" applyAlignment="1" applyProtection="1">
      <alignment vertical="center"/>
      <protection locked="0"/>
    </xf>
    <xf numFmtId="177" fontId="42" fillId="13" borderId="107" xfId="0" applyNumberFormat="1" applyFont="1" applyFill="1" applyBorder="1" applyAlignment="1" applyProtection="1">
      <alignment vertical="center"/>
      <protection locked="0"/>
    </xf>
    <xf numFmtId="177" fontId="42" fillId="14" borderId="108" xfId="0" applyNumberFormat="1" applyFont="1" applyFill="1" applyBorder="1" applyAlignment="1" applyProtection="1">
      <alignment vertical="center"/>
      <protection locked="0"/>
    </xf>
    <xf numFmtId="177" fontId="42" fillId="14" borderId="106" xfId="0" applyNumberFormat="1" applyFont="1" applyFill="1" applyBorder="1" applyAlignment="1" applyProtection="1">
      <alignment vertical="center"/>
      <protection locked="0"/>
    </xf>
    <xf numFmtId="177" fontId="42" fillId="14" borderId="109" xfId="0" applyNumberFormat="1" applyFont="1" applyFill="1" applyBorder="1" applyAlignment="1" applyProtection="1">
      <alignment vertical="center"/>
      <protection locked="0"/>
    </xf>
    <xf numFmtId="177" fontId="42" fillId="15" borderId="105" xfId="0" applyNumberFormat="1" applyFont="1" applyFill="1" applyBorder="1" applyAlignment="1" applyProtection="1">
      <alignment vertical="center"/>
      <protection locked="0"/>
    </xf>
    <xf numFmtId="177" fontId="42" fillId="15" borderId="106" xfId="0" applyNumberFormat="1" applyFont="1" applyFill="1" applyBorder="1" applyAlignment="1" applyProtection="1">
      <alignment vertical="center"/>
      <protection locked="0"/>
    </xf>
    <xf numFmtId="177" fontId="42" fillId="15" borderId="109" xfId="0" applyNumberFormat="1" applyFont="1" applyFill="1" applyBorder="1" applyAlignment="1" applyProtection="1">
      <alignment vertical="center"/>
      <protection locked="0"/>
    </xf>
    <xf numFmtId="177" fontId="35" fillId="10" borderId="78" xfId="0" applyNumberFormat="1" applyFont="1" applyFill="1" applyBorder="1" applyAlignment="1" applyProtection="1">
      <alignment vertical="center"/>
      <protection locked="0"/>
    </xf>
    <xf numFmtId="177" fontId="14" fillId="7" borderId="76" xfId="0" applyNumberFormat="1" applyFont="1" applyFill="1" applyBorder="1" applyAlignment="1" applyProtection="1">
      <alignment vertical="center"/>
      <protection locked="0"/>
    </xf>
    <xf numFmtId="177" fontId="14" fillId="7" borderId="64" xfId="0" applyNumberFormat="1" applyFont="1" applyFill="1" applyBorder="1" applyAlignment="1" applyProtection="1">
      <alignment vertical="center"/>
      <protection locked="0"/>
    </xf>
    <xf numFmtId="177" fontId="14" fillId="7" borderId="66" xfId="0" applyNumberFormat="1" applyFont="1" applyFill="1" applyBorder="1" applyAlignment="1" applyProtection="1">
      <alignment vertical="center"/>
      <protection locked="0"/>
    </xf>
    <xf numFmtId="177" fontId="14" fillId="6" borderId="62" xfId="0" applyNumberFormat="1" applyFont="1" applyFill="1" applyBorder="1" applyAlignment="1" applyProtection="1">
      <alignment vertical="center"/>
      <protection locked="0"/>
    </xf>
    <xf numFmtId="177" fontId="14" fillId="6" borderId="64" xfId="0" applyNumberFormat="1" applyFont="1" applyFill="1" applyBorder="1" applyAlignment="1" applyProtection="1">
      <alignment vertical="center"/>
      <protection locked="0"/>
    </xf>
    <xf numFmtId="177" fontId="14" fillId="6" borderId="63" xfId="0" applyNumberFormat="1" applyFont="1" applyFill="1" applyBorder="1" applyAlignment="1" applyProtection="1">
      <alignment vertical="center"/>
      <protection locked="0"/>
    </xf>
    <xf numFmtId="177" fontId="14" fillId="3" borderId="76" xfId="0" applyNumberFormat="1" applyFont="1" applyFill="1" applyBorder="1" applyAlignment="1" applyProtection="1">
      <alignment vertical="center"/>
      <protection locked="0"/>
    </xf>
    <xf numFmtId="177" fontId="14" fillId="3" borderId="64" xfId="0" applyNumberFormat="1" applyFont="1" applyFill="1" applyBorder="1" applyAlignment="1" applyProtection="1">
      <alignment vertical="center"/>
      <protection locked="0"/>
    </xf>
    <xf numFmtId="177" fontId="14" fillId="3" borderId="66" xfId="0" applyNumberFormat="1" applyFont="1" applyFill="1" applyBorder="1" applyAlignment="1" applyProtection="1">
      <alignment vertical="center"/>
      <protection locked="0"/>
    </xf>
    <xf numFmtId="179" fontId="6" fillId="0" borderId="45" xfId="0" applyNumberFormat="1" applyFont="1" applyBorder="1" applyAlignment="1">
      <alignment horizontal="right" vertical="center"/>
    </xf>
    <xf numFmtId="179" fontId="6" fillId="0" borderId="46" xfId="0" applyNumberFormat="1" applyFont="1" applyBorder="1" applyAlignment="1">
      <alignment horizontal="right" vertical="center"/>
    </xf>
    <xf numFmtId="179" fontId="6" fillId="0" borderId="47" xfId="0" applyNumberFormat="1" applyFont="1" applyBorder="1" applyAlignment="1">
      <alignment horizontal="right" vertical="center"/>
    </xf>
    <xf numFmtId="0" fontId="25" fillId="0" borderId="26" xfId="0" applyFont="1" applyBorder="1" applyAlignment="1">
      <alignment horizontal="center" vertical="center"/>
    </xf>
    <xf numFmtId="0" fontId="25" fillId="0" borderId="28" xfId="0" applyFont="1" applyBorder="1" applyAlignment="1">
      <alignment horizontal="center" vertical="center"/>
    </xf>
    <xf numFmtId="0" fontId="25" fillId="0" borderId="6" xfId="0" applyFont="1" applyBorder="1" applyAlignment="1">
      <alignment horizontal="center" vertical="center"/>
    </xf>
    <xf numFmtId="0" fontId="25" fillId="0" borderId="29" xfId="0" applyFont="1" applyBorder="1" applyAlignment="1">
      <alignment horizontal="center" vertical="center"/>
    </xf>
    <xf numFmtId="0" fontId="26" fillId="0" borderId="26" xfId="0" applyFont="1" applyBorder="1" applyAlignment="1">
      <alignment horizontal="center" vertical="center"/>
    </xf>
    <xf numFmtId="0" fontId="26" fillId="0" borderId="28" xfId="0" applyFont="1" applyBorder="1" applyAlignment="1">
      <alignment horizontal="center" vertical="center"/>
    </xf>
    <xf numFmtId="0" fontId="26" fillId="0" borderId="27" xfId="0" applyFont="1" applyBorder="1" applyAlignment="1">
      <alignment horizontal="center" vertical="center"/>
    </xf>
    <xf numFmtId="180" fontId="26" fillId="0" borderId="1" xfId="0" applyNumberFormat="1" applyFont="1" applyBorder="1" applyAlignment="1">
      <alignment horizontal="right" vertical="center"/>
    </xf>
    <xf numFmtId="180" fontId="6" fillId="0" borderId="40" xfId="0" applyNumberFormat="1" applyFont="1" applyBorder="1" applyAlignment="1">
      <alignment horizontal="right" vertical="center"/>
    </xf>
    <xf numFmtId="180" fontId="6" fillId="0" borderId="45" xfId="0" applyNumberFormat="1" applyFont="1" applyBorder="1" applyAlignment="1">
      <alignment horizontal="right" vertical="center"/>
    </xf>
    <xf numFmtId="180" fontId="6" fillId="0" borderId="46" xfId="0" applyNumberFormat="1" applyFont="1" applyBorder="1" applyAlignment="1">
      <alignment horizontal="right" vertical="center"/>
    </xf>
    <xf numFmtId="180" fontId="6" fillId="0" borderId="47" xfId="0" applyNumberFormat="1" applyFont="1" applyBorder="1" applyAlignment="1">
      <alignment horizontal="right" vertical="center"/>
    </xf>
    <xf numFmtId="0" fontId="6" fillId="0" borderId="40" xfId="0" applyFont="1" applyBorder="1" applyAlignment="1">
      <alignment horizontal="left" vertical="center"/>
    </xf>
    <xf numFmtId="0" fontId="6" fillId="0" borderId="45" xfId="0" applyFont="1" applyBorder="1" applyAlignment="1">
      <alignment horizontal="left" vertical="center"/>
    </xf>
    <xf numFmtId="0" fontId="6" fillId="0" borderId="46" xfId="0" applyFont="1" applyBorder="1" applyAlignment="1">
      <alignment horizontal="left" vertical="center"/>
    </xf>
    <xf numFmtId="0" fontId="6" fillId="0" borderId="47" xfId="0" applyFont="1" applyBorder="1" applyAlignment="1">
      <alignment horizontal="left" vertical="center"/>
    </xf>
    <xf numFmtId="0" fontId="26" fillId="0" borderId="1" xfId="0" applyFont="1" applyBorder="1" applyAlignment="1">
      <alignment horizontal="center" vertical="center"/>
    </xf>
    <xf numFmtId="180" fontId="26" fillId="0" borderId="4" xfId="0" applyNumberFormat="1" applyFont="1" applyBorder="1" applyAlignment="1">
      <alignment horizontal="right" vertical="center"/>
    </xf>
    <xf numFmtId="180" fontId="26" fillId="0" borderId="18" xfId="0" applyNumberFormat="1" applyFont="1" applyBorder="1" applyAlignment="1">
      <alignment horizontal="right" vertical="center"/>
    </xf>
    <xf numFmtId="180" fontId="26" fillId="0" borderId="5" xfId="0" applyNumberFormat="1" applyFont="1" applyBorder="1" applyAlignment="1">
      <alignment horizontal="right" vertical="center"/>
    </xf>
    <xf numFmtId="0" fontId="26" fillId="0" borderId="4" xfId="0" applyFont="1" applyBorder="1" applyAlignment="1">
      <alignment horizontal="center" vertical="center"/>
    </xf>
    <xf numFmtId="0" fontId="26" fillId="0" borderId="18" xfId="0" applyFont="1" applyBorder="1" applyAlignment="1">
      <alignment horizontal="center" vertical="center"/>
    </xf>
    <xf numFmtId="0" fontId="26" fillId="0" borderId="5" xfId="0" applyFont="1" applyBorder="1" applyAlignment="1">
      <alignment horizontal="center" vertical="center"/>
    </xf>
    <xf numFmtId="0" fontId="6" fillId="0" borderId="40" xfId="0" applyFont="1" applyBorder="1" applyAlignment="1">
      <alignment horizontal="center"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center" vertical="center"/>
    </xf>
    <xf numFmtId="0" fontId="11" fillId="0" borderId="0" xfId="0" applyFont="1" applyAlignment="1">
      <alignment horizontal="left" vertical="center"/>
    </xf>
    <xf numFmtId="0" fontId="12" fillId="0" borderId="0" xfId="0" applyFont="1" applyAlignment="1">
      <alignment horizontal="left" vertical="center"/>
    </xf>
    <xf numFmtId="0" fontId="19" fillId="0" borderId="0" xfId="0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 wrapText="1"/>
    </xf>
    <xf numFmtId="0" fontId="26" fillId="0" borderId="1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textRotation="255"/>
    </xf>
    <xf numFmtId="0" fontId="14" fillId="0" borderId="29" xfId="0" applyFont="1" applyBorder="1" applyAlignment="1">
      <alignment horizontal="center" vertical="center"/>
    </xf>
    <xf numFmtId="0" fontId="6" fillId="0" borderId="48" xfId="0" applyFont="1" applyBorder="1" applyAlignment="1">
      <alignment horizontal="center" vertical="center"/>
    </xf>
    <xf numFmtId="0" fontId="6" fillId="0" borderId="49" xfId="0" applyFont="1" applyBorder="1" applyAlignment="1">
      <alignment horizontal="center" vertical="center"/>
    </xf>
    <xf numFmtId="0" fontId="6" fillId="0" borderId="50" xfId="0" applyFont="1" applyBorder="1" applyAlignment="1">
      <alignment horizontal="center" vertical="center"/>
    </xf>
    <xf numFmtId="0" fontId="6" fillId="0" borderId="51" xfId="0" applyFont="1" applyBorder="1" applyAlignment="1">
      <alignment horizontal="center" vertical="center"/>
    </xf>
    <xf numFmtId="0" fontId="6" fillId="0" borderId="41" xfId="0" applyFont="1" applyBorder="1" applyAlignment="1">
      <alignment horizontal="center" vertical="center"/>
    </xf>
    <xf numFmtId="0" fontId="6" fillId="0" borderId="52" xfId="0" applyFont="1" applyBorder="1" applyAlignment="1">
      <alignment horizontal="center" vertical="center"/>
    </xf>
    <xf numFmtId="38" fontId="26" fillId="0" borderId="4" xfId="1" applyNumberFormat="1" applyFont="1" applyBorder="1" applyAlignment="1">
      <alignment horizontal="right" vertical="center"/>
    </xf>
    <xf numFmtId="38" fontId="26" fillId="0" borderId="18" xfId="1" applyNumberFormat="1" applyFont="1" applyBorder="1" applyAlignment="1">
      <alignment horizontal="right" vertical="center"/>
    </xf>
    <xf numFmtId="38" fontId="26" fillId="0" borderId="5" xfId="1" applyNumberFormat="1" applyFont="1" applyBorder="1" applyAlignment="1">
      <alignment horizontal="right" vertical="center"/>
    </xf>
    <xf numFmtId="0" fontId="6" fillId="0" borderId="45" xfId="0" applyFont="1" applyBorder="1" applyAlignment="1">
      <alignment horizontal="center" vertical="center"/>
    </xf>
    <xf numFmtId="0" fontId="6" fillId="0" borderId="46" xfId="0" applyFont="1" applyBorder="1" applyAlignment="1">
      <alignment horizontal="center" vertical="center"/>
    </xf>
    <xf numFmtId="0" fontId="6" fillId="0" borderId="47" xfId="0" applyFont="1" applyBorder="1" applyAlignment="1">
      <alignment horizontal="center" vertical="center"/>
    </xf>
    <xf numFmtId="38" fontId="6" fillId="0" borderId="4" xfId="1" applyNumberFormat="1" applyFont="1" applyBorder="1" applyAlignment="1">
      <alignment horizontal="center" vertical="center"/>
    </xf>
    <xf numFmtId="38" fontId="6" fillId="0" borderId="18" xfId="1" applyNumberFormat="1" applyFont="1" applyBorder="1" applyAlignment="1">
      <alignment horizontal="center" vertical="center"/>
    </xf>
    <xf numFmtId="38" fontId="6" fillId="0" borderId="5" xfId="1" applyNumberFormat="1" applyFont="1" applyBorder="1" applyAlignment="1">
      <alignment horizontal="center" vertical="center"/>
    </xf>
    <xf numFmtId="38" fontId="14" fillId="0" borderId="1" xfId="1" applyNumberFormat="1" applyFont="1" applyBorder="1" applyAlignment="1">
      <alignment horizontal="right" vertical="center"/>
    </xf>
    <xf numFmtId="0" fontId="25" fillId="0" borderId="1" xfId="0" applyFont="1" applyBorder="1" applyAlignment="1">
      <alignment horizontal="center" vertical="center"/>
    </xf>
    <xf numFmtId="38" fontId="14" fillId="0" borderId="4" xfId="1" applyNumberFormat="1" applyFont="1" applyBorder="1" applyAlignment="1">
      <alignment horizontal="right" vertical="center"/>
    </xf>
    <xf numFmtId="38" fontId="14" fillId="0" borderId="18" xfId="1" applyNumberFormat="1" applyFont="1" applyBorder="1" applyAlignment="1">
      <alignment horizontal="right" vertical="center"/>
    </xf>
    <xf numFmtId="38" fontId="14" fillId="0" borderId="5" xfId="1" applyNumberFormat="1" applyFont="1" applyBorder="1" applyAlignment="1">
      <alignment horizontal="right" vertical="center"/>
    </xf>
    <xf numFmtId="0" fontId="6" fillId="0" borderId="4" xfId="0" applyFont="1" applyBorder="1" applyAlignment="1">
      <alignment horizontal="center" vertical="center"/>
    </xf>
    <xf numFmtId="0" fontId="6" fillId="0" borderId="18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38" fontId="35" fillId="0" borderId="4" xfId="1" applyNumberFormat="1" applyFont="1" applyBorder="1" applyAlignment="1">
      <alignment horizontal="right" vertical="center"/>
    </xf>
    <xf numFmtId="38" fontId="35" fillId="0" borderId="18" xfId="1" applyNumberFormat="1" applyFont="1" applyBorder="1" applyAlignment="1">
      <alignment horizontal="right" vertical="center"/>
    </xf>
    <xf numFmtId="38" fontId="35" fillId="0" borderId="5" xfId="1" applyNumberFormat="1" applyFont="1" applyBorder="1" applyAlignment="1">
      <alignment horizontal="right" vertical="center"/>
    </xf>
    <xf numFmtId="41" fontId="6" fillId="0" borderId="0" xfId="1" applyFont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6" fillId="0" borderId="1" xfId="0" applyFont="1" applyBorder="1" applyAlignment="1">
      <alignment horizontal="left" vertical="center"/>
    </xf>
    <xf numFmtId="38" fontId="26" fillId="0" borderId="1" xfId="1" applyNumberFormat="1" applyFont="1" applyBorder="1" applyAlignment="1">
      <alignment horizontal="right" vertical="center"/>
    </xf>
    <xf numFmtId="0" fontId="4" fillId="0" borderId="1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184" fontId="4" fillId="0" borderId="1" xfId="0" applyNumberFormat="1" applyFont="1" applyBorder="1" applyAlignment="1">
      <alignment vertical="center"/>
    </xf>
    <xf numFmtId="184" fontId="4" fillId="0" borderId="4" xfId="0" applyNumberFormat="1" applyFont="1" applyBorder="1" applyAlignment="1">
      <alignment vertical="center"/>
    </xf>
    <xf numFmtId="183" fontId="4" fillId="3" borderId="1" xfId="0" applyNumberFormat="1" applyFont="1" applyFill="1" applyBorder="1" applyAlignment="1">
      <alignment horizontal="right" vertical="center"/>
    </xf>
    <xf numFmtId="0" fontId="4" fillId="2" borderId="4" xfId="0" applyFont="1" applyFill="1" applyBorder="1" applyAlignment="1">
      <alignment horizontal="center" vertical="center"/>
    </xf>
    <xf numFmtId="0" fontId="4" fillId="2" borderId="18" xfId="0" applyFont="1" applyFill="1" applyBorder="1" applyAlignment="1">
      <alignment horizontal="center" vertical="center"/>
    </xf>
    <xf numFmtId="184" fontId="4" fillId="0" borderId="4" xfId="0" applyNumberFormat="1" applyFont="1" applyBorder="1" applyAlignment="1">
      <alignment horizontal="right" vertical="center"/>
    </xf>
    <xf numFmtId="184" fontId="4" fillId="0" borderId="18" xfId="0" applyNumberFormat="1" applyFont="1" applyBorder="1" applyAlignment="1">
      <alignment horizontal="right" vertical="center"/>
    </xf>
    <xf numFmtId="0" fontId="3" fillId="0" borderId="0" xfId="0" applyFont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3" fillId="3" borderId="39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41" fontId="4" fillId="3" borderId="4" xfId="1" applyFont="1" applyFill="1" applyBorder="1" applyAlignment="1">
      <alignment horizontal="center" vertical="center"/>
    </xf>
    <xf numFmtId="41" fontId="4" fillId="3" borderId="18" xfId="1" applyFont="1" applyFill="1" applyBorder="1" applyAlignment="1">
      <alignment horizontal="center" vertical="center"/>
    </xf>
    <xf numFmtId="183" fontId="4" fillId="3" borderId="4" xfId="0" applyNumberFormat="1" applyFont="1" applyFill="1" applyBorder="1" applyAlignment="1">
      <alignment horizontal="right" vertical="center"/>
    </xf>
    <xf numFmtId="183" fontId="4" fillId="3" borderId="18" xfId="0" applyNumberFormat="1" applyFont="1" applyFill="1" applyBorder="1" applyAlignment="1">
      <alignment horizontal="right" vertical="center"/>
    </xf>
    <xf numFmtId="183" fontId="4" fillId="3" borderId="5" xfId="0" applyNumberFormat="1" applyFont="1" applyFill="1" applyBorder="1" applyAlignment="1">
      <alignment horizontal="right" vertical="center"/>
    </xf>
    <xf numFmtId="0" fontId="40" fillId="0" borderId="0" xfId="0" applyFont="1" applyAlignment="1">
      <alignment horizontal="center" vertical="center"/>
    </xf>
    <xf numFmtId="0" fontId="4" fillId="3" borderId="36" xfId="0" applyFont="1" applyFill="1" applyBorder="1" applyAlignment="1">
      <alignment horizontal="center" vertical="center"/>
    </xf>
    <xf numFmtId="0" fontId="4" fillId="3" borderId="53" xfId="0" applyFont="1" applyFill="1" applyBorder="1" applyAlignment="1">
      <alignment horizontal="center" vertical="center"/>
    </xf>
    <xf numFmtId="0" fontId="4" fillId="3" borderId="37" xfId="0" applyFont="1" applyFill="1" applyBorder="1" applyAlignment="1">
      <alignment horizontal="center" vertical="center"/>
    </xf>
    <xf numFmtId="0" fontId="4" fillId="3" borderId="38" xfId="0" applyFont="1" applyFill="1" applyBorder="1" applyAlignment="1">
      <alignment horizontal="center" vertical="center"/>
    </xf>
    <xf numFmtId="0" fontId="0" fillId="3" borderId="56" xfId="0" applyFill="1" applyBorder="1" applyAlignment="1">
      <alignment horizontal="center" vertical="center"/>
    </xf>
    <xf numFmtId="0" fontId="0" fillId="3" borderId="57" xfId="0" applyFill="1" applyBorder="1" applyAlignment="1">
      <alignment horizontal="center" vertical="center"/>
    </xf>
    <xf numFmtId="0" fontId="0" fillId="3" borderId="54" xfId="0" applyFill="1" applyBorder="1" applyAlignment="1">
      <alignment horizontal="center" vertical="center"/>
    </xf>
    <xf numFmtId="0" fontId="0" fillId="3" borderId="57" xfId="0" applyFill="1" applyBorder="1" applyAlignment="1">
      <alignment horizontal="right" vertical="center"/>
    </xf>
    <xf numFmtId="0" fontId="0" fillId="3" borderId="60" xfId="0" applyFill="1" applyBorder="1" applyAlignment="1">
      <alignment horizontal="right" vertical="center"/>
    </xf>
    <xf numFmtId="0" fontId="0" fillId="3" borderId="58" xfId="0" applyFill="1" applyBorder="1" applyAlignment="1">
      <alignment horizontal="center" vertical="center"/>
    </xf>
    <xf numFmtId="0" fontId="0" fillId="3" borderId="59" xfId="0" applyFill="1" applyBorder="1" applyAlignment="1">
      <alignment horizontal="center" vertical="center"/>
    </xf>
    <xf numFmtId="0" fontId="0" fillId="3" borderId="55" xfId="0" applyFill="1" applyBorder="1" applyAlignment="1">
      <alignment horizontal="center" vertical="center"/>
    </xf>
    <xf numFmtId="0" fontId="0" fillId="3" borderId="59" xfId="0" applyFill="1" applyBorder="1" applyAlignment="1">
      <alignment horizontal="right" vertical="center"/>
    </xf>
    <xf numFmtId="0" fontId="0" fillId="3" borderId="61" xfId="0" applyFill="1" applyBorder="1" applyAlignment="1">
      <alignment horizontal="right" vertical="center"/>
    </xf>
    <xf numFmtId="0" fontId="3" fillId="3" borderId="2" xfId="0" applyFont="1" applyFill="1" applyBorder="1" applyAlignment="1">
      <alignment horizontal="center" vertical="center" textRotation="255"/>
    </xf>
    <xf numFmtId="0" fontId="3" fillId="3" borderId="33" xfId="0" applyFont="1" applyFill="1" applyBorder="1" applyAlignment="1">
      <alignment horizontal="center" vertical="center" textRotation="255"/>
    </xf>
    <xf numFmtId="0" fontId="3" fillId="3" borderId="3" xfId="0" applyFont="1" applyFill="1" applyBorder="1" applyAlignment="1">
      <alignment horizontal="center" vertical="center" textRotation="255"/>
    </xf>
    <xf numFmtId="184" fontId="4" fillId="0" borderId="18" xfId="0" applyNumberFormat="1" applyFont="1" applyBorder="1" applyAlignment="1">
      <alignment vertical="center"/>
    </xf>
    <xf numFmtId="0" fontId="3" fillId="2" borderId="2" xfId="0" applyFont="1" applyFill="1" applyBorder="1" applyAlignment="1">
      <alignment horizontal="center" vertical="center" textRotation="255"/>
    </xf>
    <xf numFmtId="0" fontId="3" fillId="2" borderId="33" xfId="0" applyFont="1" applyFill="1" applyBorder="1" applyAlignment="1">
      <alignment horizontal="center" vertical="center" textRotation="255"/>
    </xf>
    <xf numFmtId="0" fontId="3" fillId="2" borderId="3" xfId="0" applyFont="1" applyFill="1" applyBorder="1" applyAlignment="1">
      <alignment horizontal="center" vertical="center" textRotation="255"/>
    </xf>
    <xf numFmtId="0" fontId="4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right" vertical="center"/>
    </xf>
    <xf numFmtId="0" fontId="4" fillId="0" borderId="18" xfId="0" applyFont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3" fillId="3" borderId="18" xfId="0" applyFont="1" applyFill="1" applyBorder="1" applyAlignment="1">
      <alignment horizontal="center" vertical="center"/>
    </xf>
    <xf numFmtId="180" fontId="3" fillId="3" borderId="18" xfId="0" applyNumberFormat="1" applyFont="1" applyFill="1" applyBorder="1" applyAlignment="1">
      <alignment horizontal="right" vertical="center"/>
    </xf>
    <xf numFmtId="0" fontId="3" fillId="3" borderId="18" xfId="0" applyFont="1" applyFill="1" applyBorder="1" applyAlignment="1">
      <alignment horizontal="right" vertical="center"/>
    </xf>
    <xf numFmtId="182" fontId="3" fillId="3" borderId="18" xfId="0" applyNumberFormat="1" applyFont="1" applyFill="1" applyBorder="1" applyAlignment="1">
      <alignment horizontal="center" vertical="center"/>
    </xf>
    <xf numFmtId="182" fontId="3" fillId="3" borderId="5" xfId="0" applyNumberFormat="1" applyFont="1" applyFill="1" applyBorder="1" applyAlignment="1">
      <alignment horizontal="center" vertical="center"/>
    </xf>
    <xf numFmtId="0" fontId="15" fillId="3" borderId="0" xfId="0" applyFont="1" applyFill="1" applyAlignment="1">
      <alignment horizontal="center" vertical="center"/>
    </xf>
    <xf numFmtId="0" fontId="3" fillId="3" borderId="30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183" fontId="3" fillId="3" borderId="1" xfId="0" applyNumberFormat="1" applyFont="1" applyFill="1" applyBorder="1" applyAlignment="1">
      <alignment horizontal="right" vertical="center"/>
    </xf>
    <xf numFmtId="183" fontId="3" fillId="3" borderId="4" xfId="0" applyNumberFormat="1" applyFont="1" applyFill="1" applyBorder="1" applyAlignment="1">
      <alignment horizontal="right" vertical="center"/>
    </xf>
    <xf numFmtId="183" fontId="3" fillId="3" borderId="18" xfId="0" applyNumberFormat="1" applyFont="1" applyFill="1" applyBorder="1" applyAlignment="1">
      <alignment horizontal="right" vertical="center"/>
    </xf>
    <xf numFmtId="183" fontId="3" fillId="3" borderId="5" xfId="0" applyNumberFormat="1" applyFont="1" applyFill="1" applyBorder="1" applyAlignment="1">
      <alignment horizontal="right" vertical="center"/>
    </xf>
    <xf numFmtId="0" fontId="4" fillId="0" borderId="5" xfId="0" applyFont="1" applyBorder="1" applyAlignment="1">
      <alignment horizontal="center" vertical="center"/>
    </xf>
    <xf numFmtId="0" fontId="6" fillId="0" borderId="1" xfId="0" applyFont="1" applyBorder="1" applyAlignment="1" applyProtection="1">
      <alignment horizontal="center" vertical="center"/>
      <protection locked="0"/>
    </xf>
    <xf numFmtId="41" fontId="6" fillId="0" borderId="1" xfId="1" applyFont="1" applyBorder="1" applyAlignment="1" applyProtection="1">
      <alignment horizontal="center" vertical="center"/>
      <protection locked="0"/>
    </xf>
    <xf numFmtId="41" fontId="6" fillId="0" borderId="4" xfId="1" applyFont="1" applyBorder="1" applyAlignment="1">
      <alignment horizontal="center" vertical="center"/>
    </xf>
    <xf numFmtId="41" fontId="6" fillId="0" borderId="18" xfId="1" applyFont="1" applyBorder="1" applyAlignment="1">
      <alignment horizontal="center" vertical="center"/>
    </xf>
    <xf numFmtId="41" fontId="6" fillId="0" borderId="5" xfId="1" applyFont="1" applyBorder="1" applyAlignment="1">
      <alignment horizontal="center" vertical="center"/>
    </xf>
    <xf numFmtId="0" fontId="6" fillId="0" borderId="26" xfId="0" applyFont="1" applyBorder="1" applyAlignment="1" applyProtection="1">
      <alignment horizontal="center" vertical="center"/>
      <protection locked="0"/>
    </xf>
    <xf numFmtId="0" fontId="6" fillId="0" borderId="28" xfId="0" applyFont="1" applyBorder="1" applyAlignment="1" applyProtection="1">
      <alignment horizontal="center" vertical="center"/>
      <protection locked="0"/>
    </xf>
    <xf numFmtId="41" fontId="6" fillId="0" borderId="26" xfId="1" applyFont="1" applyBorder="1" applyAlignment="1" applyProtection="1">
      <alignment horizontal="center" vertical="center"/>
      <protection locked="0"/>
    </xf>
    <xf numFmtId="41" fontId="6" fillId="0" borderId="28" xfId="1" applyFont="1" applyBorder="1" applyAlignment="1" applyProtection="1">
      <alignment horizontal="center" vertical="center"/>
      <protection locked="0"/>
    </xf>
    <xf numFmtId="0" fontId="7" fillId="0" borderId="32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44" fillId="0" borderId="1" xfId="0" applyFont="1" applyBorder="1" applyAlignment="1" applyProtection="1">
      <alignment horizontal="center" vertical="center"/>
      <protection locked="0"/>
    </xf>
    <xf numFmtId="0" fontId="7" fillId="0" borderId="12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177" fontId="35" fillId="11" borderId="110" xfId="0" applyNumberFormat="1" applyFont="1" applyFill="1" applyBorder="1" applyAlignment="1" applyProtection="1">
      <alignment horizontal="center" vertical="center"/>
      <protection locked="0"/>
    </xf>
    <xf numFmtId="177" fontId="35" fillId="11" borderId="67" xfId="0" applyNumberFormat="1" applyFont="1" applyFill="1" applyBorder="1" applyAlignment="1" applyProtection="1">
      <alignment horizontal="center" vertical="center"/>
      <protection locked="0"/>
    </xf>
    <xf numFmtId="177" fontId="35" fillId="11" borderId="68" xfId="0" applyNumberFormat="1" applyFont="1" applyFill="1" applyBorder="1" applyAlignment="1" applyProtection="1">
      <alignment horizontal="center" vertical="center"/>
      <protection locked="0"/>
    </xf>
    <xf numFmtId="0" fontId="6" fillId="10" borderId="111" xfId="0" applyFont="1" applyFill="1" applyBorder="1" applyAlignment="1">
      <alignment horizontal="center" vertical="center"/>
    </xf>
    <xf numFmtId="0" fontId="6" fillId="6" borderId="111" xfId="0" applyFont="1" applyFill="1" applyBorder="1" applyAlignment="1">
      <alignment horizontal="center" vertical="center"/>
    </xf>
    <xf numFmtId="0" fontId="6" fillId="3" borderId="111" xfId="0" applyFont="1" applyFill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37" fillId="0" borderId="4" xfId="0" applyFont="1" applyBorder="1" applyAlignment="1" applyProtection="1">
      <alignment horizontal="center" vertical="center"/>
      <protection locked="0"/>
    </xf>
    <xf numFmtId="0" fontId="44" fillId="0" borderId="5" xfId="0" applyFont="1" applyBorder="1" applyAlignment="1" applyProtection="1">
      <alignment horizontal="center" vertical="center"/>
      <protection locked="0"/>
    </xf>
    <xf numFmtId="0" fontId="44" fillId="0" borderId="4" xfId="0" applyFont="1" applyBorder="1" applyAlignment="1" applyProtection="1">
      <alignment horizontal="center" vertical="center"/>
      <protection locked="0"/>
    </xf>
    <xf numFmtId="179" fontId="7" fillId="0" borderId="26" xfId="0" applyNumberFormat="1" applyFont="1" applyBorder="1" applyAlignment="1">
      <alignment horizontal="right" vertical="center"/>
    </xf>
    <xf numFmtId="179" fontId="7" fillId="0" borderId="28" xfId="0" applyNumberFormat="1" applyFont="1" applyBorder="1" applyAlignment="1">
      <alignment horizontal="right" vertical="center"/>
    </xf>
    <xf numFmtId="179" fontId="7" fillId="0" borderId="27" xfId="0" applyNumberFormat="1" applyFont="1" applyBorder="1" applyAlignment="1">
      <alignment horizontal="right" vertical="center"/>
    </xf>
    <xf numFmtId="180" fontId="7" fillId="0" borderId="26" xfId="0" applyNumberFormat="1" applyFont="1" applyBorder="1" applyAlignment="1">
      <alignment horizontal="right" vertical="center"/>
    </xf>
    <xf numFmtId="180" fontId="7" fillId="0" borderId="28" xfId="0" applyNumberFormat="1" applyFont="1" applyBorder="1" applyAlignment="1">
      <alignment horizontal="right" vertical="center"/>
    </xf>
    <xf numFmtId="180" fontId="7" fillId="0" borderId="44" xfId="0" applyNumberFormat="1" applyFont="1" applyBorder="1" applyAlignment="1">
      <alignment horizontal="right" vertical="center"/>
    </xf>
    <xf numFmtId="0" fontId="13" fillId="0" borderId="1" xfId="0" applyFont="1" applyBorder="1" applyAlignment="1">
      <alignment horizontal="center" vertical="center"/>
    </xf>
    <xf numFmtId="179" fontId="7" fillId="0" borderId="5" xfId="0" applyNumberFormat="1" applyFont="1" applyBorder="1" applyAlignment="1">
      <alignment horizontal="right" vertical="center"/>
    </xf>
    <xf numFmtId="179" fontId="7" fillId="0" borderId="1" xfId="0" applyNumberFormat="1" applyFont="1" applyBorder="1" applyAlignment="1">
      <alignment horizontal="right" vertical="center"/>
    </xf>
    <xf numFmtId="0" fontId="7" fillId="0" borderId="5" xfId="0" applyFont="1" applyBorder="1" applyAlignment="1">
      <alignment horizontal="right" vertical="center"/>
    </xf>
    <xf numFmtId="0" fontId="7" fillId="0" borderId="1" xfId="0" applyFont="1" applyBorder="1" applyAlignment="1">
      <alignment horizontal="right" vertical="center"/>
    </xf>
    <xf numFmtId="180" fontId="7" fillId="0" borderId="1" xfId="0" applyNumberFormat="1" applyFont="1" applyBorder="1" applyAlignment="1">
      <alignment horizontal="right" vertical="center"/>
    </xf>
    <xf numFmtId="180" fontId="7" fillId="0" borderId="4" xfId="0" applyNumberFormat="1" applyFont="1" applyBorder="1" applyAlignment="1">
      <alignment horizontal="right" vertical="center"/>
    </xf>
    <xf numFmtId="0" fontId="7" fillId="0" borderId="14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21" fillId="0" borderId="1" xfId="0" applyFont="1" applyBorder="1" applyAlignment="1">
      <alignment horizontal="center" vertical="center"/>
    </xf>
    <xf numFmtId="180" fontId="7" fillId="0" borderId="23" xfId="0" applyNumberFormat="1" applyFont="1" applyBorder="1" applyAlignment="1">
      <alignment horizontal="right" vertical="center"/>
    </xf>
    <xf numFmtId="0" fontId="7" fillId="0" borderId="25" xfId="0" applyFont="1" applyBorder="1" applyAlignment="1">
      <alignment horizontal="center" vertical="center"/>
    </xf>
    <xf numFmtId="0" fontId="7" fillId="0" borderId="43" xfId="0" applyFont="1" applyBorder="1" applyAlignment="1">
      <alignment horizontal="center" vertical="center"/>
    </xf>
    <xf numFmtId="0" fontId="7" fillId="0" borderId="42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 wrapText="1"/>
    </xf>
    <xf numFmtId="0" fontId="6" fillId="0" borderId="10" xfId="0" applyFont="1" applyBorder="1" applyAlignment="1">
      <alignment horizontal="center" vertical="center"/>
    </xf>
    <xf numFmtId="0" fontId="6" fillId="0" borderId="11" xfId="0" applyFont="1" applyBorder="1" applyAlignment="1">
      <alignment horizontal="center" vertical="center"/>
    </xf>
    <xf numFmtId="0" fontId="6" fillId="0" borderId="21" xfId="0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0" borderId="22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179" fontId="6" fillId="0" borderId="19" xfId="0" applyNumberFormat="1" applyFont="1" applyBorder="1" applyAlignment="1">
      <alignment horizontal="right" vertical="center"/>
    </xf>
    <xf numFmtId="179" fontId="6" fillId="0" borderId="34" xfId="0" applyNumberFormat="1" applyFont="1" applyBorder="1" applyAlignment="1">
      <alignment horizontal="right" vertical="center"/>
    </xf>
    <xf numFmtId="179" fontId="6" fillId="0" borderId="24" xfId="0" applyNumberFormat="1" applyFont="1" applyBorder="1" applyAlignment="1">
      <alignment horizontal="right" vertical="center"/>
    </xf>
    <xf numFmtId="0" fontId="7" fillId="0" borderId="31" xfId="0" applyFont="1" applyBorder="1" applyAlignment="1">
      <alignment horizontal="center" vertical="center"/>
    </xf>
    <xf numFmtId="0" fontId="7" fillId="0" borderId="28" xfId="0" applyFont="1" applyBorder="1" applyAlignment="1">
      <alignment horizontal="center" vertical="center"/>
    </xf>
    <xf numFmtId="0" fontId="7" fillId="0" borderId="27" xfId="0" applyFont="1" applyBorder="1" applyAlignment="1">
      <alignment horizontal="center" vertical="center"/>
    </xf>
    <xf numFmtId="41" fontId="44" fillId="0" borderId="1" xfId="1" applyFont="1" applyBorder="1" applyAlignment="1" applyProtection="1">
      <alignment horizontal="center" vertical="center"/>
      <protection locked="0"/>
    </xf>
    <xf numFmtId="0" fontId="37" fillId="0" borderId="1" xfId="0" applyFont="1" applyBorder="1" applyAlignment="1" applyProtection="1">
      <alignment horizontal="center" vertical="center"/>
      <protection locked="0"/>
    </xf>
    <xf numFmtId="176" fontId="7" fillId="0" borderId="4" xfId="0" applyNumberFormat="1" applyFont="1" applyBorder="1" applyAlignment="1">
      <alignment horizontal="center" vertical="center"/>
    </xf>
    <xf numFmtId="176" fontId="7" fillId="0" borderId="18" xfId="0" applyNumberFormat="1" applyFont="1" applyBorder="1" applyAlignment="1">
      <alignment horizontal="center" vertical="center"/>
    </xf>
    <xf numFmtId="176" fontId="7" fillId="0" borderId="5" xfId="0" applyNumberFormat="1" applyFont="1" applyBorder="1" applyAlignment="1">
      <alignment horizontal="center" vertical="center"/>
    </xf>
    <xf numFmtId="41" fontId="26" fillId="0" borderId="4" xfId="1" applyNumberFormat="1" applyFont="1" applyFill="1" applyBorder="1" applyAlignment="1" applyProtection="1">
      <alignment horizontal="center" vertical="center"/>
      <protection locked="0"/>
    </xf>
    <xf numFmtId="41" fontId="26" fillId="0" borderId="18" xfId="1" applyNumberFormat="1" applyFont="1" applyFill="1" applyBorder="1" applyAlignment="1" applyProtection="1">
      <alignment horizontal="center" vertical="center"/>
      <protection locked="0"/>
    </xf>
    <xf numFmtId="41" fontId="26" fillId="0" borderId="5" xfId="1" applyNumberFormat="1" applyFont="1" applyFill="1" applyBorder="1" applyAlignment="1" applyProtection="1">
      <alignment horizontal="center" vertical="center"/>
      <protection locked="0"/>
    </xf>
    <xf numFmtId="0" fontId="13" fillId="0" borderId="4" xfId="0" applyFont="1" applyBorder="1" applyAlignment="1">
      <alignment horizontal="center" vertical="center"/>
    </xf>
    <xf numFmtId="0" fontId="13" fillId="0" borderId="18" xfId="0" applyFont="1" applyBorder="1" applyAlignment="1">
      <alignment horizontal="center" vertical="center"/>
    </xf>
    <xf numFmtId="0" fontId="13" fillId="0" borderId="5" xfId="0" applyFont="1" applyBorder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26" fillId="0" borderId="4" xfId="0" applyFont="1" applyFill="1" applyBorder="1" applyAlignment="1" applyProtection="1">
      <alignment horizontal="center" vertical="center"/>
      <protection locked="0"/>
    </xf>
    <xf numFmtId="0" fontId="26" fillId="0" borderId="18" xfId="0" applyFont="1" applyFill="1" applyBorder="1" applyAlignment="1" applyProtection="1">
      <alignment horizontal="center" vertical="center"/>
      <protection locked="0"/>
    </xf>
    <xf numFmtId="0" fontId="26" fillId="0" borderId="5" xfId="0" applyFont="1" applyFill="1" applyBorder="1" applyAlignment="1" applyProtection="1">
      <alignment horizontal="center" vertical="center"/>
      <protection locked="0"/>
    </xf>
    <xf numFmtId="31" fontId="13" fillId="0" borderId="1" xfId="0" applyNumberFormat="1" applyFont="1" applyBorder="1" applyAlignment="1">
      <alignment horizontal="center" vertical="center"/>
    </xf>
    <xf numFmtId="41" fontId="6" fillId="0" borderId="1" xfId="0" applyNumberFormat="1" applyFont="1" applyBorder="1" applyAlignment="1">
      <alignment horizontal="center" vertical="center"/>
    </xf>
    <xf numFmtId="0" fontId="0" fillId="0" borderId="4" xfId="0" applyBorder="1">
      <alignment vertical="center"/>
    </xf>
    <xf numFmtId="0" fontId="0" fillId="0" borderId="18" xfId="0" applyBorder="1">
      <alignment vertical="center"/>
    </xf>
    <xf numFmtId="41" fontId="6" fillId="0" borderId="1" xfId="1" applyFont="1" applyBorder="1" applyAlignment="1">
      <alignment horizontal="center" vertical="center"/>
    </xf>
    <xf numFmtId="0" fontId="18" fillId="0" borderId="26" xfId="0" applyFont="1" applyBorder="1" applyAlignment="1">
      <alignment horizontal="center" vertical="center"/>
    </xf>
    <xf numFmtId="0" fontId="18" fillId="0" borderId="28" xfId="0" applyFont="1" applyBorder="1" applyAlignment="1">
      <alignment horizontal="center" vertical="center"/>
    </xf>
    <xf numFmtId="0" fontId="18" fillId="0" borderId="27" xfId="0" applyFont="1" applyBorder="1" applyAlignment="1">
      <alignment horizontal="center" vertical="center"/>
    </xf>
    <xf numFmtId="0" fontId="18" fillId="0" borderId="6" xfId="0" applyFont="1" applyBorder="1" applyAlignment="1">
      <alignment horizontal="center" vertical="center"/>
    </xf>
    <xf numFmtId="0" fontId="18" fillId="0" borderId="29" xfId="0" applyFont="1" applyBorder="1" applyAlignment="1">
      <alignment horizontal="center" vertical="center"/>
    </xf>
    <xf numFmtId="0" fontId="18" fillId="0" borderId="7" xfId="0" applyFont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7" fillId="0" borderId="35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  <xf numFmtId="180" fontId="6" fillId="0" borderId="22" xfId="0" applyNumberFormat="1" applyFont="1" applyBorder="1" applyAlignment="1">
      <alignment horizontal="right" vertical="center"/>
    </xf>
    <xf numFmtId="180" fontId="6" fillId="0" borderId="16" xfId="0" applyNumberFormat="1" applyFont="1" applyBorder="1" applyAlignment="1">
      <alignment horizontal="right" vertical="center"/>
    </xf>
    <xf numFmtId="0" fontId="6" fillId="0" borderId="4" xfId="0" applyFont="1" applyBorder="1" applyAlignment="1" applyProtection="1">
      <alignment horizontal="center" vertical="center"/>
      <protection locked="0"/>
    </xf>
    <xf numFmtId="41" fontId="6" fillId="0" borderId="2" xfId="1" applyFont="1" applyBorder="1" applyAlignment="1" applyProtection="1">
      <alignment horizontal="center" vertical="center"/>
      <protection locked="0"/>
    </xf>
    <xf numFmtId="0" fontId="9" fillId="0" borderId="0" xfId="0" applyFont="1" applyAlignment="1">
      <alignment horizontal="center" vertical="center"/>
    </xf>
    <xf numFmtId="31" fontId="3" fillId="0" borderId="0" xfId="0" applyNumberFormat="1" applyFont="1" applyAlignment="1">
      <alignment horizontal="right" vertical="center"/>
    </xf>
    <xf numFmtId="0" fontId="3" fillId="0" borderId="0" xfId="0" applyFont="1" applyAlignment="1">
      <alignment horizontal="right" vertical="center"/>
    </xf>
    <xf numFmtId="0" fontId="0" fillId="0" borderId="1" xfId="0" applyBorder="1" applyAlignment="1">
      <alignment horizontal="center" vertical="center" textRotation="255"/>
    </xf>
    <xf numFmtId="0" fontId="0" fillId="0" borderId="1" xfId="0" applyBorder="1" applyAlignment="1">
      <alignment horizontal="center" vertical="center" wrapText="1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31" fontId="3" fillId="0" borderId="4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178" fontId="34" fillId="0" borderId="66" xfId="0" applyNumberFormat="1" applyFont="1" applyBorder="1" applyAlignment="1" applyProtection="1">
      <alignment horizontal="right" vertical="center"/>
    </xf>
    <xf numFmtId="178" fontId="34" fillId="0" borderId="67" xfId="0" applyNumberFormat="1" applyFont="1" applyBorder="1" applyAlignment="1" applyProtection="1">
      <alignment horizontal="right" vertical="center"/>
    </xf>
    <xf numFmtId="178" fontId="34" fillId="0" borderId="76" xfId="0" applyNumberFormat="1" applyFont="1" applyBorder="1" applyAlignment="1" applyProtection="1">
      <alignment horizontal="right" vertical="center"/>
    </xf>
    <xf numFmtId="178" fontId="34" fillId="0" borderId="69" xfId="0" applyNumberFormat="1" applyFont="1" applyBorder="1" applyAlignment="1" applyProtection="1">
      <alignment horizontal="right" vertical="center"/>
    </xf>
    <xf numFmtId="178" fontId="34" fillId="0" borderId="70" xfId="0" applyNumberFormat="1" applyFont="1" applyBorder="1" applyAlignment="1" applyProtection="1">
      <alignment horizontal="right" vertical="center"/>
    </xf>
    <xf numFmtId="178" fontId="34" fillId="0" borderId="77" xfId="0" applyNumberFormat="1" applyFont="1" applyBorder="1" applyAlignment="1" applyProtection="1">
      <alignment horizontal="right" vertical="center"/>
    </xf>
    <xf numFmtId="0" fontId="30" fillId="0" borderId="0" xfId="0" applyFont="1" applyAlignment="1">
      <alignment horizontal="center" vertical="center"/>
    </xf>
    <xf numFmtId="0" fontId="32" fillId="0" borderId="26" xfId="0" applyFont="1" applyBorder="1" applyAlignment="1" applyProtection="1">
      <alignment horizontal="center" vertical="center"/>
    </xf>
    <xf numFmtId="0" fontId="32" fillId="0" borderId="28" xfId="0" applyFont="1" applyBorder="1" applyAlignment="1" applyProtection="1">
      <alignment horizontal="center" vertical="center"/>
    </xf>
    <xf numFmtId="0" fontId="32" fillId="0" borderId="27" xfId="0" applyFont="1" applyBorder="1" applyAlignment="1" applyProtection="1">
      <alignment horizontal="center" vertical="center"/>
    </xf>
    <xf numFmtId="178" fontId="34" fillId="4" borderId="66" xfId="0" applyNumberFormat="1" applyFont="1" applyFill="1" applyBorder="1" applyAlignment="1" applyProtection="1">
      <alignment horizontal="right" vertical="center"/>
      <protection locked="0"/>
    </xf>
    <xf numFmtId="178" fontId="34" fillId="4" borderId="67" xfId="0" applyNumberFormat="1" applyFont="1" applyFill="1" applyBorder="1" applyAlignment="1" applyProtection="1">
      <alignment horizontal="right" vertical="center"/>
      <protection locked="0"/>
    </xf>
    <xf numFmtId="178" fontId="34" fillId="4" borderId="68" xfId="0" applyNumberFormat="1" applyFont="1" applyFill="1" applyBorder="1" applyAlignment="1" applyProtection="1">
      <alignment horizontal="right" vertical="center"/>
      <protection locked="0"/>
    </xf>
    <xf numFmtId="178" fontId="34" fillId="4" borderId="69" xfId="0" applyNumberFormat="1" applyFont="1" applyFill="1" applyBorder="1" applyAlignment="1" applyProtection="1">
      <alignment horizontal="right" vertical="center"/>
      <protection locked="0"/>
    </xf>
    <xf numFmtId="178" fontId="34" fillId="4" borderId="70" xfId="0" applyNumberFormat="1" applyFont="1" applyFill="1" applyBorder="1" applyAlignment="1" applyProtection="1">
      <alignment horizontal="right" vertical="center"/>
      <protection locked="0"/>
    </xf>
    <xf numFmtId="178" fontId="34" fillId="4" borderId="71" xfId="0" applyNumberFormat="1" applyFont="1" applyFill="1" applyBorder="1" applyAlignment="1" applyProtection="1">
      <alignment horizontal="right" vertical="center"/>
      <protection locked="0"/>
    </xf>
    <xf numFmtId="0" fontId="0" fillId="0" borderId="73" xfId="0" applyBorder="1" applyAlignment="1">
      <alignment horizontal="center" vertical="center"/>
    </xf>
    <xf numFmtId="0" fontId="0" fillId="0" borderId="74" xfId="0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0" fontId="0" fillId="16" borderId="0" xfId="0" applyFill="1" applyAlignment="1" applyProtection="1">
      <alignment horizontal="center" vertical="center"/>
      <protection locked="0"/>
    </xf>
  </cellXfs>
  <cellStyles count="2">
    <cellStyle name="쉼표 [0]" xfId="1" builtinId="6"/>
    <cellStyle name="표준" xfId="0" builtinId="0"/>
  </cellStyles>
  <dxfs count="3"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theme="5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180975</xdr:colOff>
      <xdr:row>2</xdr:row>
      <xdr:rowOff>95250</xdr:rowOff>
    </xdr:from>
    <xdr:to>
      <xdr:col>12</xdr:col>
      <xdr:colOff>676275</xdr:colOff>
      <xdr:row>4</xdr:row>
      <xdr:rowOff>0</xdr:rowOff>
    </xdr:to>
    <xdr:sp macro="[0]!초기화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xmlns="" id="{57652CFE-576D-4483-9424-6B54A8DABD14}"/>
            </a:ext>
          </a:extLst>
        </xdr:cNvPr>
        <xdr:cNvSpPr/>
      </xdr:nvSpPr>
      <xdr:spPr>
        <a:xfrm>
          <a:off x="6324600" y="638175"/>
          <a:ext cx="1181100" cy="371475"/>
        </a:xfrm>
        <a:prstGeom prst="roundRect">
          <a:avLst/>
        </a:prstGeom>
        <a:solidFill>
          <a:schemeClr val="accent6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초기화</a:t>
          </a:r>
          <a:endParaRPr lang="en-US" altLang="ko-KR" sz="1400" b="1"/>
        </a:p>
      </xdr:txBody>
    </xdr:sp>
    <xdr:clientData/>
  </xdr:twoCellAnchor>
  <xdr:twoCellAnchor>
    <xdr:from>
      <xdr:col>11</xdr:col>
      <xdr:colOff>180975</xdr:colOff>
      <xdr:row>0</xdr:row>
      <xdr:rowOff>104775</xdr:rowOff>
    </xdr:from>
    <xdr:to>
      <xdr:col>12</xdr:col>
      <xdr:colOff>676275</xdr:colOff>
      <xdr:row>1</xdr:row>
      <xdr:rowOff>266700</xdr:rowOff>
    </xdr:to>
    <xdr:sp macro="[0]!이월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xmlns="" id="{91EE56F8-0369-4C57-98FE-93F77CC6B572}"/>
            </a:ext>
          </a:extLst>
        </xdr:cNvPr>
        <xdr:cNvSpPr/>
      </xdr:nvSpPr>
      <xdr:spPr>
        <a:xfrm>
          <a:off x="6324600" y="104775"/>
          <a:ext cx="1181100" cy="37147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이월초기화</a:t>
          </a:r>
          <a:endParaRPr lang="en-US" altLang="ko-KR" sz="1400" b="1"/>
        </a:p>
      </xdr:txBody>
    </xdr:sp>
    <xdr:clientData/>
  </xdr:twoCellAnchor>
  <xdr:twoCellAnchor>
    <xdr:from>
      <xdr:col>11</xdr:col>
      <xdr:colOff>219074</xdr:colOff>
      <xdr:row>10</xdr:row>
      <xdr:rowOff>200025</xdr:rowOff>
    </xdr:from>
    <xdr:to>
      <xdr:col>13</xdr:col>
      <xdr:colOff>285750</xdr:colOff>
      <xdr:row>10</xdr:row>
      <xdr:rowOff>571500</xdr:rowOff>
    </xdr:to>
    <xdr:sp macro="[0]!수입" textlink="">
      <xdr:nvSpPr>
        <xdr:cNvPr id="4" name="사각형: 둥근 모서리 3">
          <a:extLst>
            <a:ext uri="{FF2B5EF4-FFF2-40B4-BE49-F238E27FC236}">
              <a16:creationId xmlns:a16="http://schemas.microsoft.com/office/drawing/2014/main" xmlns="" id="{D3A99681-1652-42A2-9677-2678D35238D3}"/>
            </a:ext>
          </a:extLst>
        </xdr:cNvPr>
        <xdr:cNvSpPr/>
      </xdr:nvSpPr>
      <xdr:spPr>
        <a:xfrm>
          <a:off x="6362699" y="3133725"/>
          <a:ext cx="1438276" cy="371475"/>
        </a:xfrm>
        <a:prstGeom prst="roundRect">
          <a:avLst/>
        </a:prstGeom>
        <a:solidFill>
          <a:srgbClr val="C0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자료가져오기</a:t>
          </a:r>
          <a:endParaRPr lang="en-US" altLang="ko-KR" sz="1400" b="1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44048;&#49324;&#54732;&#44552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감사헌금"/>
      <sheetName val="Sheet2"/>
      <sheetName val="성도목록"/>
    </sheetNames>
    <sheetDataSet>
      <sheetData sheetId="0" refreshError="1"/>
      <sheetData sheetId="1" refreshError="1"/>
      <sheetData sheetId="2">
        <row r="1">
          <cell r="A1" t="str">
            <v>#1033</v>
          </cell>
        </row>
        <row r="2">
          <cell r="A2" t="str">
            <v>0226hy</v>
          </cell>
        </row>
        <row r="3">
          <cell r="A3" t="str">
            <v>10교구</v>
          </cell>
        </row>
        <row r="4">
          <cell r="A4" t="str">
            <v>11교구</v>
          </cell>
        </row>
        <row r="5">
          <cell r="A5" t="str">
            <v>12교구</v>
          </cell>
        </row>
        <row r="6">
          <cell r="A6" t="str">
            <v>2교구</v>
          </cell>
        </row>
        <row r="7">
          <cell r="A7" t="str">
            <v>4교구</v>
          </cell>
        </row>
        <row r="8">
          <cell r="A8" t="str">
            <v>61yoo</v>
          </cell>
        </row>
        <row r="9">
          <cell r="A9" t="str">
            <v>7412j</v>
          </cell>
        </row>
        <row r="10">
          <cell r="A10" t="str">
            <v>8교구</v>
          </cell>
        </row>
        <row r="11">
          <cell r="A11" t="str">
            <v>a01028452377</v>
          </cell>
        </row>
        <row r="12">
          <cell r="A12" t="str">
            <v>a011784</v>
          </cell>
        </row>
        <row r="13">
          <cell r="A13" t="str">
            <v>a0119</v>
          </cell>
        </row>
        <row r="14">
          <cell r="A14" t="str">
            <v>a0323</v>
          </cell>
        </row>
        <row r="15">
          <cell r="A15" t="str">
            <v>a0326</v>
          </cell>
        </row>
        <row r="16">
          <cell r="A16" t="str">
            <v>a0411</v>
          </cell>
        </row>
        <row r="17">
          <cell r="A17" t="str">
            <v>a0508</v>
          </cell>
        </row>
        <row r="18">
          <cell r="A18" t="str">
            <v>a05083</v>
          </cell>
        </row>
        <row r="19">
          <cell r="A19" t="str">
            <v>a0509</v>
          </cell>
        </row>
        <row r="20">
          <cell r="A20" t="str">
            <v>a0530</v>
          </cell>
        </row>
        <row r="21">
          <cell r="A21" t="str">
            <v>a0691</v>
          </cell>
        </row>
        <row r="22">
          <cell r="A22" t="str">
            <v>a0717</v>
          </cell>
        </row>
        <row r="23">
          <cell r="A23" t="str">
            <v>a0801</v>
          </cell>
        </row>
        <row r="24">
          <cell r="A24" t="str">
            <v>a0808</v>
          </cell>
        </row>
        <row r="25">
          <cell r="A25" t="str">
            <v>a1003</v>
          </cell>
        </row>
        <row r="26">
          <cell r="A26" t="str">
            <v>a1025</v>
          </cell>
        </row>
        <row r="27">
          <cell r="A27" t="str">
            <v>a1030</v>
          </cell>
        </row>
        <row r="28">
          <cell r="A28" t="str">
            <v>a1033</v>
          </cell>
        </row>
        <row r="29">
          <cell r="A29" t="str">
            <v>a1041816</v>
          </cell>
        </row>
        <row r="30">
          <cell r="A30" t="str">
            <v>a1106</v>
          </cell>
        </row>
        <row r="31">
          <cell r="A31" t="str">
            <v>a1123</v>
          </cell>
        </row>
        <row r="32">
          <cell r="A32" t="str">
            <v>a1124</v>
          </cell>
        </row>
        <row r="33">
          <cell r="A33" t="str">
            <v>a11434</v>
          </cell>
        </row>
        <row r="34">
          <cell r="A34" t="str">
            <v>a1188</v>
          </cell>
        </row>
        <row r="35">
          <cell r="A35" t="str">
            <v>a12.5</v>
          </cell>
        </row>
        <row r="36">
          <cell r="A36" t="str">
            <v>a1206</v>
          </cell>
        </row>
        <row r="37">
          <cell r="A37" t="str">
            <v>a1210</v>
          </cell>
        </row>
        <row r="38">
          <cell r="A38" t="str">
            <v>a1238</v>
          </cell>
        </row>
        <row r="39">
          <cell r="A39" t="str">
            <v>a1239</v>
          </cell>
        </row>
        <row r="40">
          <cell r="A40" t="str">
            <v>a1256</v>
          </cell>
        </row>
        <row r="41">
          <cell r="A41" t="str">
            <v>a1256</v>
          </cell>
        </row>
        <row r="42">
          <cell r="A42" t="str">
            <v>a1372</v>
          </cell>
        </row>
        <row r="43">
          <cell r="A43" t="str">
            <v>a139</v>
          </cell>
        </row>
        <row r="44">
          <cell r="A44" t="str">
            <v>a1403</v>
          </cell>
        </row>
        <row r="45">
          <cell r="A45" t="str">
            <v>a1591</v>
          </cell>
        </row>
        <row r="46">
          <cell r="A46" t="str">
            <v>a1823316</v>
          </cell>
        </row>
        <row r="47">
          <cell r="A47" t="str">
            <v>a1892</v>
          </cell>
        </row>
        <row r="48">
          <cell r="A48" t="str">
            <v>a2000</v>
          </cell>
        </row>
        <row r="49">
          <cell r="A49" t="str">
            <v>a2091</v>
          </cell>
        </row>
        <row r="50">
          <cell r="A50" t="str">
            <v>a2214</v>
          </cell>
        </row>
        <row r="51">
          <cell r="A51" t="str">
            <v>a2234324</v>
          </cell>
        </row>
        <row r="52">
          <cell r="A52" t="str">
            <v>a2382</v>
          </cell>
        </row>
        <row r="53">
          <cell r="A53" t="str">
            <v>a2478</v>
          </cell>
        </row>
        <row r="54">
          <cell r="A54" t="str">
            <v>a2545</v>
          </cell>
        </row>
        <row r="55">
          <cell r="A55" t="str">
            <v>a2611</v>
          </cell>
        </row>
        <row r="56">
          <cell r="A56" t="str">
            <v>a2628362</v>
          </cell>
        </row>
        <row r="57">
          <cell r="A57" t="str">
            <v>a2665</v>
          </cell>
        </row>
        <row r="58">
          <cell r="A58" t="str">
            <v>a2717</v>
          </cell>
        </row>
        <row r="59">
          <cell r="A59" t="str">
            <v>a2752</v>
          </cell>
        </row>
        <row r="60">
          <cell r="A60" t="str">
            <v>a2767</v>
          </cell>
        </row>
        <row r="61">
          <cell r="A61" t="str">
            <v>a2828056</v>
          </cell>
        </row>
        <row r="62">
          <cell r="A62" t="str">
            <v>a28452377</v>
          </cell>
        </row>
        <row r="63">
          <cell r="A63" t="str">
            <v>a28452977</v>
          </cell>
        </row>
        <row r="64">
          <cell r="A64" t="str">
            <v>a2s</v>
          </cell>
        </row>
        <row r="65">
          <cell r="A65" t="str">
            <v>a3077</v>
          </cell>
        </row>
        <row r="66">
          <cell r="A66" t="str">
            <v>a3109</v>
          </cell>
        </row>
        <row r="67">
          <cell r="A67" t="str">
            <v>a3121</v>
          </cell>
        </row>
        <row r="68">
          <cell r="A68" t="str">
            <v>a32527</v>
          </cell>
        </row>
        <row r="69">
          <cell r="A69" t="str">
            <v>a3306</v>
          </cell>
        </row>
        <row r="70">
          <cell r="A70" t="str">
            <v>a3333</v>
          </cell>
        </row>
        <row r="71">
          <cell r="A71" t="str">
            <v>a3388</v>
          </cell>
        </row>
        <row r="72">
          <cell r="A72" t="str">
            <v>a3538</v>
          </cell>
        </row>
        <row r="73">
          <cell r="A73" t="str">
            <v>a357</v>
          </cell>
        </row>
        <row r="74">
          <cell r="A74" t="str">
            <v>a3632</v>
          </cell>
        </row>
        <row r="75">
          <cell r="A75" t="str">
            <v>a3865</v>
          </cell>
        </row>
        <row r="76">
          <cell r="A76" t="str">
            <v>a4043</v>
          </cell>
        </row>
        <row r="77">
          <cell r="A77" t="str">
            <v>a404905</v>
          </cell>
        </row>
        <row r="78">
          <cell r="A78" t="str">
            <v>a416</v>
          </cell>
        </row>
        <row r="79">
          <cell r="A79" t="str">
            <v>a4171</v>
          </cell>
        </row>
        <row r="80">
          <cell r="A80" t="str">
            <v>a4189</v>
          </cell>
        </row>
        <row r="81">
          <cell r="A81" t="str">
            <v>a4334</v>
          </cell>
        </row>
        <row r="82">
          <cell r="A82" t="str">
            <v>a4392</v>
          </cell>
        </row>
        <row r="83">
          <cell r="A83" t="str">
            <v>a4712</v>
          </cell>
        </row>
        <row r="84">
          <cell r="A84" t="str">
            <v>a4847</v>
          </cell>
        </row>
        <row r="85">
          <cell r="A85" t="str">
            <v>a5051</v>
          </cell>
        </row>
        <row r="86">
          <cell r="A86" t="str">
            <v>a5103</v>
          </cell>
        </row>
        <row r="87">
          <cell r="A87" t="str">
            <v>a512</v>
          </cell>
        </row>
        <row r="88">
          <cell r="A88" t="str">
            <v>a5157</v>
          </cell>
        </row>
        <row r="89">
          <cell r="A89" t="str">
            <v>a5240</v>
          </cell>
        </row>
        <row r="90">
          <cell r="A90" t="str">
            <v>a550215</v>
          </cell>
        </row>
        <row r="91">
          <cell r="A91" t="str">
            <v>a5912</v>
          </cell>
        </row>
        <row r="92">
          <cell r="A92" t="str">
            <v>a6044</v>
          </cell>
        </row>
        <row r="93">
          <cell r="A93" t="str">
            <v>a617</v>
          </cell>
        </row>
        <row r="94">
          <cell r="A94" t="str">
            <v>a620522</v>
          </cell>
        </row>
        <row r="95">
          <cell r="A95" t="str">
            <v>a6250</v>
          </cell>
        </row>
        <row r="96">
          <cell r="A96" t="str">
            <v>a6339</v>
          </cell>
        </row>
        <row r="97">
          <cell r="A97" t="str">
            <v>a6420</v>
          </cell>
        </row>
        <row r="98">
          <cell r="A98" t="str">
            <v>a6556</v>
          </cell>
        </row>
        <row r="99">
          <cell r="A99" t="str">
            <v>a68709899</v>
          </cell>
        </row>
        <row r="100">
          <cell r="A100" t="str">
            <v>a7.7</v>
          </cell>
        </row>
        <row r="101">
          <cell r="A101" t="str">
            <v>a7283</v>
          </cell>
        </row>
        <row r="102">
          <cell r="A102" t="str">
            <v>a7309</v>
          </cell>
        </row>
        <row r="103">
          <cell r="A103" t="str">
            <v>a73792</v>
          </cell>
        </row>
        <row r="104">
          <cell r="A104" t="str">
            <v>a7454</v>
          </cell>
        </row>
        <row r="105">
          <cell r="A105" t="str">
            <v>a7491</v>
          </cell>
        </row>
        <row r="106">
          <cell r="A106" t="str">
            <v>a7717</v>
          </cell>
        </row>
        <row r="107">
          <cell r="A107" t="str">
            <v>a7848</v>
          </cell>
        </row>
        <row r="108">
          <cell r="A108" t="str">
            <v>a7888</v>
          </cell>
        </row>
        <row r="109">
          <cell r="A109" t="str">
            <v>a8080</v>
          </cell>
        </row>
        <row r="110">
          <cell r="A110" t="str">
            <v>a81</v>
          </cell>
        </row>
        <row r="111">
          <cell r="A111" t="str">
            <v>a8268</v>
          </cell>
        </row>
        <row r="112">
          <cell r="A112" t="str">
            <v>a831396</v>
          </cell>
        </row>
        <row r="113">
          <cell r="A113" t="str">
            <v>a87</v>
          </cell>
        </row>
        <row r="114">
          <cell r="A114" t="str">
            <v>a8805</v>
          </cell>
        </row>
        <row r="115">
          <cell r="A115" t="str">
            <v>a92</v>
          </cell>
        </row>
        <row r="116">
          <cell r="A116" t="str">
            <v>a920213</v>
          </cell>
        </row>
        <row r="117">
          <cell r="A117" t="str">
            <v>a9256</v>
          </cell>
        </row>
        <row r="118">
          <cell r="A118" t="str">
            <v>a929</v>
          </cell>
        </row>
        <row r="119">
          <cell r="A119" t="str">
            <v>a9433</v>
          </cell>
        </row>
        <row r="120">
          <cell r="A120" t="str">
            <v>a9574</v>
          </cell>
        </row>
        <row r="121">
          <cell r="A121" t="str">
            <v>a9895</v>
          </cell>
        </row>
        <row r="122">
          <cell r="A122" t="str">
            <v>a99550575</v>
          </cell>
        </row>
        <row r="123">
          <cell r="A123" t="str">
            <v>ayy</v>
          </cell>
        </row>
        <row r="124">
          <cell r="A124" t="str">
            <v>bws</v>
          </cell>
        </row>
        <row r="125">
          <cell r="A125" t="str">
            <v>ch7075</v>
          </cell>
        </row>
        <row r="126">
          <cell r="A126" t="str">
            <v>ch85</v>
          </cell>
        </row>
        <row r="127">
          <cell r="A127" t="str">
            <v>ds5mhp</v>
          </cell>
        </row>
        <row r="128">
          <cell r="A128" t="str">
            <v>g7</v>
          </cell>
        </row>
        <row r="129">
          <cell r="A129" t="str">
            <v>gy0906</v>
          </cell>
        </row>
        <row r="130">
          <cell r="A130" t="str">
            <v>hb6467</v>
          </cell>
        </row>
        <row r="131">
          <cell r="A131" t="str">
            <v>hm37</v>
          </cell>
        </row>
        <row r="132">
          <cell r="A132" t="str">
            <v>hs312</v>
          </cell>
        </row>
        <row r="133">
          <cell r="A133" t="str">
            <v>j07k</v>
          </cell>
        </row>
        <row r="134">
          <cell r="A134" t="str">
            <v>jang13</v>
          </cell>
        </row>
        <row r="135">
          <cell r="A135" t="str">
            <v>jc6610</v>
          </cell>
        </row>
        <row r="136">
          <cell r="A136" t="str">
            <v>jgi8281</v>
          </cell>
        </row>
        <row r="137">
          <cell r="A137" t="str">
            <v>jh2312</v>
          </cell>
        </row>
        <row r="138">
          <cell r="A138" t="str">
            <v>k0113</v>
          </cell>
        </row>
        <row r="139">
          <cell r="A139" t="str">
            <v>k09n17</v>
          </cell>
        </row>
        <row r="140">
          <cell r="A140" t="str">
            <v>k4159</v>
          </cell>
        </row>
        <row r="141">
          <cell r="A141" t="str">
            <v>kcs</v>
          </cell>
        </row>
        <row r="142">
          <cell r="A142" t="str">
            <v>khg</v>
          </cell>
        </row>
        <row r="143">
          <cell r="A143" t="str">
            <v>ktc</v>
          </cell>
        </row>
        <row r="144">
          <cell r="A144" t="str">
            <v>kw94</v>
          </cell>
        </row>
        <row r="145">
          <cell r="A145" t="str">
            <v>lee1981</v>
          </cell>
        </row>
        <row r="146">
          <cell r="A146" t="str">
            <v>lhc0210</v>
          </cell>
        </row>
        <row r="147">
          <cell r="A147" t="str">
            <v>mary</v>
          </cell>
        </row>
        <row r="148">
          <cell r="A148" t="str">
            <v>nyhd</v>
          </cell>
        </row>
        <row r="149">
          <cell r="A149" t="str">
            <v>ok3573</v>
          </cell>
        </row>
        <row r="150">
          <cell r="A150" t="str">
            <v>oyc</v>
          </cell>
        </row>
        <row r="151">
          <cell r="A151" t="str">
            <v>paulc</v>
          </cell>
        </row>
        <row r="152">
          <cell r="A152" t="str">
            <v>pjh</v>
          </cell>
        </row>
        <row r="153">
          <cell r="A153" t="str">
            <v>pk9906</v>
          </cell>
        </row>
        <row r="154">
          <cell r="A154" t="str">
            <v>pmh</v>
          </cell>
        </row>
        <row r="155">
          <cell r="A155" t="str">
            <v>pys1521</v>
          </cell>
        </row>
        <row r="156">
          <cell r="A156" t="str">
            <v>pz</v>
          </cell>
        </row>
        <row r="157">
          <cell r="A157" t="str">
            <v>sl</v>
          </cell>
        </row>
        <row r="158">
          <cell r="A158" t="str">
            <v>sm</v>
          </cell>
        </row>
        <row r="159">
          <cell r="A159" t="str">
            <v>ssm19</v>
          </cell>
        </row>
        <row r="160">
          <cell r="A160" t="str">
            <v>stk</v>
          </cell>
        </row>
        <row r="161">
          <cell r="A161" t="str">
            <v>y8896</v>
          </cell>
        </row>
        <row r="162">
          <cell r="A162" t="str">
            <v>ypekyn</v>
          </cell>
        </row>
        <row r="163">
          <cell r="A163" t="str">
            <v>ys</v>
          </cell>
        </row>
        <row r="164">
          <cell r="A164" t="str">
            <v>강가람</v>
          </cell>
        </row>
        <row r="165">
          <cell r="A165" t="str">
            <v>강기정</v>
          </cell>
        </row>
        <row r="166">
          <cell r="A166" t="str">
            <v>강미정</v>
          </cell>
        </row>
        <row r="167">
          <cell r="A167" t="str">
            <v>강병찬</v>
          </cell>
        </row>
        <row r="168">
          <cell r="A168" t="str">
            <v>강성득</v>
          </cell>
        </row>
        <row r="169">
          <cell r="A169" t="str">
            <v>강예랑</v>
          </cell>
        </row>
        <row r="170">
          <cell r="A170" t="str">
            <v>강철오</v>
          </cell>
        </row>
        <row r="171">
          <cell r="A171" t="str">
            <v>강호성</v>
          </cell>
        </row>
        <row r="172">
          <cell r="A172" t="str">
            <v>고락길</v>
          </cell>
        </row>
        <row r="173">
          <cell r="A173" t="str">
            <v>곽순이</v>
          </cell>
        </row>
        <row r="174">
          <cell r="A174" t="str">
            <v>권광현</v>
          </cell>
        </row>
        <row r="175">
          <cell r="A175" t="str">
            <v>권화선</v>
          </cell>
        </row>
        <row r="176">
          <cell r="A176" t="str">
            <v>김갑조</v>
          </cell>
        </row>
        <row r="177">
          <cell r="A177" t="str">
            <v>김경철</v>
          </cell>
        </row>
        <row r="178">
          <cell r="A178" t="str">
            <v>김광연</v>
          </cell>
        </row>
        <row r="179">
          <cell r="A179" t="str">
            <v>김금렬</v>
          </cell>
        </row>
        <row r="180">
          <cell r="A180" t="str">
            <v>김대종</v>
          </cell>
        </row>
        <row r="181">
          <cell r="A181" t="str">
            <v>김덕미</v>
          </cell>
        </row>
        <row r="182">
          <cell r="A182" t="str">
            <v>김명심</v>
          </cell>
        </row>
        <row r="183">
          <cell r="A183" t="str">
            <v>김병태</v>
          </cell>
        </row>
        <row r="184">
          <cell r="A184" t="str">
            <v>김삼순</v>
          </cell>
        </row>
        <row r="185">
          <cell r="A185" t="str">
            <v>김선미</v>
          </cell>
        </row>
        <row r="186">
          <cell r="A186" t="str">
            <v>김선안</v>
          </cell>
        </row>
        <row r="187">
          <cell r="A187" t="str">
            <v>김성숙</v>
          </cell>
        </row>
        <row r="188">
          <cell r="A188" t="str">
            <v>김성용</v>
          </cell>
        </row>
        <row r="189">
          <cell r="A189" t="str">
            <v>김애령</v>
          </cell>
        </row>
        <row r="190">
          <cell r="A190" t="str">
            <v>김원주</v>
          </cell>
        </row>
        <row r="191">
          <cell r="A191" t="str">
            <v>김인화</v>
          </cell>
        </row>
        <row r="192">
          <cell r="A192" t="str">
            <v>김자영</v>
          </cell>
        </row>
        <row r="193">
          <cell r="A193" t="str">
            <v>김정호</v>
          </cell>
        </row>
        <row r="194">
          <cell r="A194" t="str">
            <v>김종욱</v>
          </cell>
        </row>
        <row r="195">
          <cell r="A195" t="str">
            <v>김주미</v>
          </cell>
        </row>
        <row r="196">
          <cell r="A196" t="str">
            <v>김지선</v>
          </cell>
        </row>
        <row r="197">
          <cell r="A197" t="str">
            <v>김창영</v>
          </cell>
        </row>
        <row r="198">
          <cell r="A198" t="str">
            <v>김혜란</v>
          </cell>
        </row>
        <row r="199">
          <cell r="A199" t="str">
            <v>끝날까지</v>
          </cell>
        </row>
        <row r="200">
          <cell r="A200" t="str">
            <v>나병천</v>
          </cell>
        </row>
        <row r="201">
          <cell r="A201" t="str">
            <v>남기남</v>
          </cell>
        </row>
        <row r="202">
          <cell r="A202" t="str">
            <v>류원</v>
          </cell>
        </row>
        <row r="203">
          <cell r="A203" t="str">
            <v>류주욱</v>
          </cell>
        </row>
        <row r="204">
          <cell r="A204" t="str">
            <v>무명</v>
          </cell>
        </row>
        <row r="205">
          <cell r="A205" t="str">
            <v>박인미</v>
          </cell>
        </row>
        <row r="206">
          <cell r="A206" t="str">
            <v>박정순</v>
          </cell>
        </row>
        <row r="207">
          <cell r="A207" t="str">
            <v>방은선</v>
          </cell>
        </row>
        <row r="208">
          <cell r="A208" t="str">
            <v>배일호</v>
          </cell>
        </row>
        <row r="209">
          <cell r="A209" t="str">
            <v>백미선</v>
          </cell>
        </row>
        <row r="210">
          <cell r="A210" t="str">
            <v>백순옥</v>
          </cell>
        </row>
        <row r="211">
          <cell r="A211" t="str">
            <v>백정조</v>
          </cell>
        </row>
        <row r="212">
          <cell r="A212" t="str">
            <v>백종열</v>
          </cell>
        </row>
        <row r="213">
          <cell r="A213" t="str">
            <v>변응선</v>
          </cell>
        </row>
        <row r="214">
          <cell r="A214" t="str">
            <v>서정태</v>
          </cell>
        </row>
        <row r="215">
          <cell r="A215" t="str">
            <v>서주영</v>
          </cell>
        </row>
        <row r="216">
          <cell r="A216" t="str">
            <v>성 명</v>
          </cell>
        </row>
        <row r="217">
          <cell r="A217" t="str">
            <v>성주2사랑방</v>
          </cell>
        </row>
        <row r="218">
          <cell r="A218" t="str">
            <v>손경혜</v>
          </cell>
        </row>
        <row r="219">
          <cell r="A219" t="str">
            <v>손학운</v>
          </cell>
        </row>
        <row r="220">
          <cell r="A220" t="str">
            <v>송길용</v>
          </cell>
        </row>
        <row r="221">
          <cell r="A221" t="str">
            <v>송숙희</v>
          </cell>
        </row>
        <row r="222">
          <cell r="A222" t="str">
            <v>송옥경</v>
          </cell>
        </row>
        <row r="223">
          <cell r="A223" t="str">
            <v>순의찬양</v>
          </cell>
        </row>
        <row r="224">
          <cell r="A224" t="str">
            <v>신동한</v>
          </cell>
        </row>
        <row r="225">
          <cell r="A225" t="str">
            <v>심인선</v>
          </cell>
        </row>
        <row r="226">
          <cell r="A226" t="str">
            <v>심장현</v>
          </cell>
        </row>
        <row r="227">
          <cell r="A227" t="str">
            <v>안재혜</v>
          </cell>
        </row>
        <row r="228">
          <cell r="A228" t="str">
            <v>어윤</v>
          </cell>
        </row>
        <row r="229">
          <cell r="A229" t="str">
            <v>오미숙</v>
          </cell>
        </row>
        <row r="230">
          <cell r="A230" t="str">
            <v>오정옥</v>
          </cell>
        </row>
        <row r="231">
          <cell r="A231" t="str">
            <v>유옥주</v>
          </cell>
        </row>
        <row r="232">
          <cell r="A232" t="str">
            <v>유토피아</v>
          </cell>
        </row>
        <row r="233">
          <cell r="A233" t="str">
            <v>윤태순</v>
          </cell>
        </row>
        <row r="234">
          <cell r="A234" t="str">
            <v>은1502</v>
          </cell>
        </row>
        <row r="235">
          <cell r="A235" t="str">
            <v>이경자</v>
          </cell>
        </row>
        <row r="236">
          <cell r="A236" t="str">
            <v>이교상</v>
          </cell>
        </row>
        <row r="237">
          <cell r="A237" t="str">
            <v>이기수</v>
          </cell>
        </row>
        <row r="238">
          <cell r="A238" t="str">
            <v>이길수</v>
          </cell>
        </row>
        <row r="239">
          <cell r="A239" t="str">
            <v>이동원</v>
          </cell>
        </row>
        <row r="240">
          <cell r="A240" t="str">
            <v>이미현</v>
          </cell>
        </row>
        <row r="241">
          <cell r="A241" t="str">
            <v>이병수</v>
          </cell>
        </row>
        <row r="242">
          <cell r="A242" t="str">
            <v>이상민</v>
          </cell>
        </row>
        <row r="243">
          <cell r="A243" t="str">
            <v>이선수</v>
          </cell>
        </row>
        <row r="244">
          <cell r="A244" t="str">
            <v>이선호</v>
          </cell>
        </row>
        <row r="245">
          <cell r="A245" t="str">
            <v>이승실</v>
          </cell>
        </row>
        <row r="246">
          <cell r="A246" t="str">
            <v>이승종</v>
          </cell>
        </row>
        <row r="247">
          <cell r="A247" t="str">
            <v>이요셉</v>
          </cell>
        </row>
        <row r="248">
          <cell r="A248" t="str">
            <v>이은영</v>
          </cell>
        </row>
        <row r="249">
          <cell r="A249" t="str">
            <v>이인선</v>
          </cell>
        </row>
        <row r="250">
          <cell r="A250" t="str">
            <v>이지환</v>
          </cell>
        </row>
        <row r="251">
          <cell r="A251" t="str">
            <v>이학수</v>
          </cell>
        </row>
        <row r="252">
          <cell r="A252" t="str">
            <v>이희석</v>
          </cell>
        </row>
        <row r="253">
          <cell r="A253" t="str">
            <v>일일이공</v>
          </cell>
        </row>
        <row r="254">
          <cell r="A254" t="str">
            <v>임태희</v>
          </cell>
        </row>
        <row r="255">
          <cell r="A255" t="str">
            <v>장문석</v>
          </cell>
        </row>
        <row r="256">
          <cell r="A256" t="str">
            <v>장인준</v>
          </cell>
        </row>
        <row r="257">
          <cell r="A257" t="str">
            <v>전행주</v>
          </cell>
        </row>
        <row r="258">
          <cell r="A258" t="str">
            <v>정광열</v>
          </cell>
        </row>
        <row r="259">
          <cell r="A259" t="str">
            <v>정미자</v>
          </cell>
        </row>
        <row r="260">
          <cell r="A260" t="str">
            <v>정민식</v>
          </cell>
        </row>
        <row r="261">
          <cell r="A261" t="str">
            <v>정영진</v>
          </cell>
        </row>
        <row r="262">
          <cell r="A262" t="str">
            <v>정용식</v>
          </cell>
        </row>
        <row r="263">
          <cell r="A263" t="str">
            <v>정우식</v>
          </cell>
        </row>
        <row r="264">
          <cell r="A264" t="str">
            <v>정정화</v>
          </cell>
        </row>
        <row r="265">
          <cell r="A265" t="str">
            <v>정현재</v>
          </cell>
        </row>
        <row r="266">
          <cell r="A266" t="str">
            <v>조동환</v>
          </cell>
        </row>
        <row r="267">
          <cell r="A267" t="str">
            <v>조재현</v>
          </cell>
        </row>
        <row r="268">
          <cell r="A268" t="str">
            <v>조제현</v>
          </cell>
        </row>
        <row r="269">
          <cell r="A269" t="str">
            <v>조훈</v>
          </cell>
        </row>
        <row r="270">
          <cell r="A270" t="str">
            <v>주희복</v>
          </cell>
        </row>
        <row r="271">
          <cell r="A271" t="str">
            <v>주희아빠</v>
          </cell>
        </row>
        <row r="272">
          <cell r="A272" t="str">
            <v>중등부</v>
          </cell>
        </row>
        <row r="273">
          <cell r="A273" t="str">
            <v>착오금</v>
          </cell>
        </row>
        <row r="274">
          <cell r="A274" t="str">
            <v>천상은</v>
          </cell>
        </row>
        <row r="275">
          <cell r="A275" t="str">
            <v>최경호</v>
          </cell>
        </row>
        <row r="276">
          <cell r="A276" t="str">
            <v>최승목</v>
          </cell>
        </row>
        <row r="277">
          <cell r="A277" t="str">
            <v>최여진</v>
          </cell>
        </row>
        <row r="278">
          <cell r="A278" t="str">
            <v>최웅재</v>
          </cell>
        </row>
        <row r="279">
          <cell r="A279" t="str">
            <v>최진형</v>
          </cell>
        </row>
        <row r="280">
          <cell r="A280" t="str">
            <v>태초부터</v>
          </cell>
        </row>
        <row r="281">
          <cell r="A281" t="str">
            <v>토월성원</v>
          </cell>
        </row>
        <row r="282">
          <cell r="A282" t="str">
            <v>하정남</v>
          </cell>
        </row>
        <row r="283">
          <cell r="A283" t="str">
            <v>하헌영</v>
          </cell>
        </row>
        <row r="284">
          <cell r="A284" t="str">
            <v>함진분</v>
          </cell>
        </row>
        <row r="285">
          <cell r="A285" t="str">
            <v>홍민주</v>
          </cell>
        </row>
        <row r="286">
          <cell r="A286" t="str">
            <v>환입금</v>
          </cell>
        </row>
        <row r="287">
          <cell r="A287" t="str">
            <v>최혜선</v>
          </cell>
        </row>
        <row r="288">
          <cell r="A288" t="str">
            <v>최창봉</v>
          </cell>
        </row>
        <row r="289">
          <cell r="A289" t="str">
            <v>a77</v>
          </cell>
        </row>
        <row r="290">
          <cell r="A290" t="str">
            <v>이인재</v>
          </cell>
        </row>
        <row r="291">
          <cell r="A291" t="str">
            <v>이시진</v>
          </cell>
        </row>
        <row r="292">
          <cell r="A292" t="str">
            <v>이미혜</v>
          </cell>
        </row>
        <row r="293">
          <cell r="A293" t="str">
            <v>k6019</v>
          </cell>
        </row>
        <row r="294">
          <cell r="A294" t="str">
            <v>p219025</v>
          </cell>
        </row>
        <row r="295">
          <cell r="A295" t="str">
            <v>a7786</v>
          </cell>
        </row>
        <row r="296">
          <cell r="A296" t="str">
            <v>a93358867</v>
          </cell>
        </row>
        <row r="297">
          <cell r="A297" t="str">
            <v>a910627</v>
          </cell>
        </row>
        <row r="298">
          <cell r="A298" t="str">
            <v>a7933</v>
          </cell>
        </row>
        <row r="299">
          <cell r="A299" t="str">
            <v>a590425</v>
          </cell>
        </row>
        <row r="300">
          <cell r="A300" t="str">
            <v>장혜영</v>
          </cell>
        </row>
        <row r="301">
          <cell r="A301" t="str">
            <v>임요한</v>
          </cell>
        </row>
        <row r="302">
          <cell r="A302" t="str">
            <v>jhbs</v>
          </cell>
        </row>
        <row r="303">
          <cell r="A303" t="str">
            <v>박기룡</v>
          </cell>
        </row>
        <row r="304">
          <cell r="A304" t="str">
            <v>a3121</v>
          </cell>
        </row>
        <row r="305">
          <cell r="A305" t="str">
            <v>k1995</v>
          </cell>
        </row>
        <row r="306">
          <cell r="A306" t="str">
            <v>유순옥</v>
          </cell>
        </row>
        <row r="307">
          <cell r="A307" t="str">
            <v>강선순</v>
          </cell>
        </row>
        <row r="308">
          <cell r="A308" t="str">
            <v>이금희</v>
          </cell>
        </row>
        <row r="309">
          <cell r="A309" t="str">
            <v>a873</v>
          </cell>
        </row>
        <row r="310">
          <cell r="A310" t="str">
            <v>a6420a28452377</v>
          </cell>
        </row>
        <row r="311">
          <cell r="A311" t="str">
            <v>atti</v>
          </cell>
        </row>
        <row r="312">
          <cell r="A312" t="str">
            <v>a3145</v>
          </cell>
        </row>
        <row r="313">
          <cell r="A313" t="str">
            <v>a2271004</v>
          </cell>
        </row>
        <row r="314">
          <cell r="A314" t="str">
            <v>7교구</v>
          </cell>
        </row>
        <row r="315">
          <cell r="A315" t="str">
            <v>1교구</v>
          </cell>
        </row>
        <row r="316">
          <cell r="A316" t="str">
            <v>6교구</v>
          </cell>
        </row>
        <row r="317">
          <cell r="A317" t="str">
            <v>3교구</v>
          </cell>
        </row>
        <row r="318">
          <cell r="A318" t="str">
            <v>a6547</v>
          </cell>
        </row>
        <row r="319">
          <cell r="A319" t="str">
            <v>정혜성</v>
          </cell>
        </row>
        <row r="320">
          <cell r="A320" t="str">
            <v>권오조</v>
          </cell>
        </row>
        <row r="321">
          <cell r="A321" t="str">
            <v>최은경</v>
          </cell>
        </row>
        <row r="322">
          <cell r="A322" t="str">
            <v>박지은</v>
          </cell>
        </row>
        <row r="323">
          <cell r="A323" t="str">
            <v>무영</v>
          </cell>
        </row>
        <row r="324">
          <cell r="A324" t="str">
            <v>조정화</v>
          </cell>
        </row>
        <row r="325">
          <cell r="A325" t="str">
            <v>박정윤</v>
          </cell>
        </row>
        <row r="326">
          <cell r="A326" t="str">
            <v>a9706</v>
          </cell>
        </row>
        <row r="327">
          <cell r="A327" t="str">
            <v>문옥분</v>
          </cell>
        </row>
        <row r="328">
          <cell r="A328" t="str">
            <v>7421j</v>
          </cell>
        </row>
        <row r="329">
          <cell r="A329" t="str">
            <v>a05130221</v>
          </cell>
        </row>
        <row r="330">
          <cell r="A330" t="str">
            <v>a125</v>
          </cell>
        </row>
        <row r="331">
          <cell r="A331" t="str">
            <v>김수현</v>
          </cell>
        </row>
        <row r="332">
          <cell r="A332" t="str">
            <v>김혜진</v>
          </cell>
        </row>
        <row r="333">
          <cell r="A333" t="str">
            <v>a3543</v>
          </cell>
        </row>
        <row r="334">
          <cell r="A334" t="str">
            <v>김옥희</v>
          </cell>
        </row>
        <row r="335">
          <cell r="A335" t="str">
            <v>김순</v>
          </cell>
        </row>
        <row r="336">
          <cell r="A336" t="str">
            <v>세인건설</v>
          </cell>
        </row>
        <row r="337">
          <cell r="A337" t="str">
            <v>김호규</v>
          </cell>
        </row>
        <row r="338">
          <cell r="A338" t="str">
            <v>a1295</v>
          </cell>
        </row>
        <row r="339">
          <cell r="A339" t="str">
            <v>a4180</v>
          </cell>
        </row>
        <row r="340">
          <cell r="A340" t="str">
            <v>p0691</v>
          </cell>
        </row>
        <row r="341">
          <cell r="A341" t="str">
            <v>a2303</v>
          </cell>
        </row>
        <row r="342">
          <cell r="A342" t="str">
            <v>최명자</v>
          </cell>
        </row>
        <row r="343">
          <cell r="A343" t="str">
            <v>우경미</v>
          </cell>
        </row>
        <row r="344">
          <cell r="A344" t="str">
            <v>김상두</v>
          </cell>
        </row>
        <row r="345">
          <cell r="A345" t="str">
            <v>제명모</v>
          </cell>
        </row>
        <row r="346">
          <cell r="A346" t="str">
            <v>a603</v>
          </cell>
        </row>
        <row r="347">
          <cell r="A347" t="str">
            <v>a0526</v>
          </cell>
        </row>
        <row r="348">
          <cell r="A348" t="str">
            <v>a7177</v>
          </cell>
        </row>
        <row r="349">
          <cell r="A349" t="str">
            <v>a0401</v>
          </cell>
        </row>
        <row r="350">
          <cell r="A350" t="str">
            <v>방현</v>
          </cell>
        </row>
        <row r="351">
          <cell r="A351" t="str">
            <v>j7</v>
          </cell>
        </row>
        <row r="352">
          <cell r="A352" t="str">
            <v>정인식</v>
          </cell>
        </row>
        <row r="353">
          <cell r="A353" t="str">
            <v>a1170</v>
          </cell>
        </row>
        <row r="354">
          <cell r="A354" t="str">
            <v>최혁</v>
          </cell>
        </row>
        <row r="355">
          <cell r="A355" t="str">
            <v>mcyoo22</v>
          </cell>
        </row>
        <row r="356">
          <cell r="A356" t="str">
            <v>김경식</v>
          </cell>
        </row>
        <row r="357">
          <cell r="A357" t="str">
            <v>오정현</v>
          </cell>
        </row>
        <row r="358">
          <cell r="A358" t="str">
            <v>채원</v>
          </cell>
        </row>
        <row r="359">
          <cell r="A359" t="str">
            <v>a2983</v>
          </cell>
        </row>
        <row r="360">
          <cell r="A360" t="str">
            <v>a8581</v>
          </cell>
        </row>
        <row r="361">
          <cell r="A361" t="str">
            <v>a5601</v>
          </cell>
        </row>
        <row r="362">
          <cell r="A362" t="str">
            <v>a2674</v>
          </cell>
        </row>
        <row r="363">
          <cell r="A363" t="str">
            <v>배도석</v>
          </cell>
        </row>
        <row r="364">
          <cell r="A364" t="str">
            <v>b2577</v>
          </cell>
        </row>
        <row r="365">
          <cell r="A365" t="str">
            <v>a1031504</v>
          </cell>
        </row>
        <row r="366">
          <cell r="A366" t="str">
            <v>조한경</v>
          </cell>
        </row>
        <row r="367">
          <cell r="A367" t="str">
            <v>a4988</v>
          </cell>
        </row>
        <row r="368">
          <cell r="A368" t="str">
            <v>한나회</v>
          </cell>
        </row>
        <row r="369">
          <cell r="A369" t="str">
            <v>m6363</v>
          </cell>
        </row>
        <row r="370">
          <cell r="A370" t="str">
            <v>bsj4484</v>
          </cell>
        </row>
        <row r="371">
          <cell r="A371" t="str">
            <v>김현정</v>
          </cell>
        </row>
        <row r="372">
          <cell r="A372" t="str">
            <v>이원근</v>
          </cell>
        </row>
        <row r="373">
          <cell r="A373" t="str">
            <v>윤태홍</v>
          </cell>
        </row>
        <row r="374">
          <cell r="A374" t="str">
            <v>서지훈</v>
          </cell>
        </row>
        <row r="375">
          <cell r="A375" t="str">
            <v>박재석</v>
          </cell>
        </row>
        <row r="376">
          <cell r="A376" t="str">
            <v>오창석</v>
          </cell>
        </row>
        <row r="377">
          <cell r="A377" t="str">
            <v>bs</v>
          </cell>
        </row>
        <row r="378">
          <cell r="A378" t="str">
            <v>8581#</v>
          </cell>
        </row>
        <row r="379">
          <cell r="A379" t="str">
            <v>박명석</v>
          </cell>
        </row>
        <row r="380">
          <cell r="A380" t="str">
            <v>김초단</v>
          </cell>
        </row>
        <row r="381">
          <cell r="A381" t="str">
            <v>a2074117</v>
          </cell>
        </row>
        <row r="382">
          <cell r="A382" t="str">
            <v>a0575</v>
          </cell>
        </row>
        <row r="383">
          <cell r="A383" t="str">
            <v>a2</v>
          </cell>
        </row>
        <row r="384">
          <cell r="A384" t="str">
            <v>김은정</v>
          </cell>
        </row>
        <row r="385">
          <cell r="A385" t="str">
            <v>이미선</v>
          </cell>
        </row>
        <row r="386">
          <cell r="A386" t="str">
            <v>김예현</v>
          </cell>
        </row>
        <row r="387">
          <cell r="A387" t="str">
            <v>a3245</v>
          </cell>
        </row>
        <row r="388">
          <cell r="A388" t="str">
            <v>a920212</v>
          </cell>
        </row>
        <row r="389">
          <cell r="A389" t="str">
            <v>syh</v>
          </cell>
        </row>
        <row r="390">
          <cell r="A390" t="str">
            <v>kㄱㅇ</v>
          </cell>
        </row>
        <row r="391">
          <cell r="A391" t="str">
            <v>정두현</v>
          </cell>
        </row>
        <row r="392">
          <cell r="A392" t="str">
            <v>백수야</v>
          </cell>
        </row>
        <row r="393">
          <cell r="A393" t="str">
            <v>최은하</v>
          </cell>
        </row>
        <row r="394">
          <cell r="A394" t="str">
            <v>홍정수</v>
          </cell>
        </row>
        <row r="395">
          <cell r="A395" t="str">
            <v>a2727</v>
          </cell>
        </row>
        <row r="396">
          <cell r="A396" t="str">
            <v>에덴어린집</v>
          </cell>
        </row>
        <row r="397">
          <cell r="A397" t="str">
            <v>안철진</v>
          </cell>
        </row>
        <row r="398">
          <cell r="A398" t="str">
            <v>syu</v>
          </cell>
        </row>
        <row r="399">
          <cell r="A399" t="str">
            <v>남순연</v>
          </cell>
        </row>
        <row r="400">
          <cell r="A400" t="str">
            <v>k10</v>
          </cell>
        </row>
        <row r="401">
          <cell r="A401" t="str">
            <v>큐티적립금</v>
          </cell>
        </row>
        <row r="402">
          <cell r="A402" t="str">
            <v>a810829</v>
          </cell>
        </row>
        <row r="403">
          <cell r="A403" t="str">
            <v>이창우</v>
          </cell>
        </row>
        <row r="404">
          <cell r="A404" t="str">
            <v>s5103</v>
          </cell>
        </row>
        <row r="405">
          <cell r="A405" t="str">
            <v>a690720</v>
          </cell>
        </row>
        <row r="406">
          <cell r="A406" t="str">
            <v>고영환</v>
          </cell>
        </row>
        <row r="407">
          <cell r="A407" t="str">
            <v>원숙영</v>
          </cell>
        </row>
        <row r="408">
          <cell r="A408" t="str">
            <v>a102402</v>
          </cell>
        </row>
        <row r="409">
          <cell r="A409" t="str">
            <v>a1733</v>
          </cell>
        </row>
        <row r="410">
          <cell r="A410" t="str">
            <v>a5733</v>
          </cell>
        </row>
        <row r="411">
          <cell r="A411" t="str">
            <v>ahb6467</v>
          </cell>
        </row>
        <row r="412">
          <cell r="A412" t="str">
            <v>a5511</v>
          </cell>
        </row>
        <row r="413">
          <cell r="A413" t="str">
            <v>나윤석</v>
          </cell>
        </row>
        <row r="414">
          <cell r="A414" t="str">
            <v>9교구</v>
          </cell>
        </row>
      </sheetData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X51"/>
  <sheetViews>
    <sheetView showGridLines="0" view="pageBreakPreview" zoomScaleNormal="100" zoomScaleSheetLayoutView="100" workbookViewId="0">
      <selection activeCell="B4" sqref="B4:W4"/>
    </sheetView>
  </sheetViews>
  <sheetFormatPr defaultColWidth="8.75" defaultRowHeight="12"/>
  <cols>
    <col min="1" max="1" width="1" style="2" customWidth="1"/>
    <col min="2" max="13" width="3.75" style="2" customWidth="1"/>
    <col min="14" max="14" width="1.5" style="2" customWidth="1"/>
    <col min="15" max="15" width="0.875" style="2" customWidth="1"/>
    <col min="16" max="16" width="1.125" style="2" customWidth="1"/>
    <col min="17" max="17" width="2.75" style="2" customWidth="1"/>
    <col min="18" max="18" width="3.75" style="2" customWidth="1"/>
    <col min="19" max="19" width="5.125" style="2" customWidth="1"/>
    <col min="20" max="20" width="2.125" style="2" customWidth="1"/>
    <col min="21" max="21" width="3.875" style="2" customWidth="1"/>
    <col min="22" max="22" width="3.75" style="2" customWidth="1"/>
    <col min="23" max="23" width="3" style="2" customWidth="1"/>
    <col min="24" max="25" width="3.75" style="2" customWidth="1"/>
    <col min="26" max="16384" width="8.75" style="2"/>
  </cols>
  <sheetData>
    <row r="1" spans="1:24" ht="7.9" customHeight="1"/>
    <row r="2" spans="1:24" ht="31.5">
      <c r="B2" s="226" t="s">
        <v>142</v>
      </c>
      <c r="C2" s="226"/>
      <c r="D2" s="226"/>
      <c r="E2" s="226"/>
      <c r="F2" s="226"/>
      <c r="G2" s="226"/>
      <c r="H2" s="226"/>
      <c r="I2" s="226"/>
      <c r="J2" s="226"/>
      <c r="K2" s="226"/>
      <c r="L2" s="226"/>
      <c r="M2" s="226"/>
      <c r="N2" s="226"/>
      <c r="O2" s="226"/>
      <c r="P2" s="226"/>
      <c r="Q2" s="226"/>
      <c r="R2" s="226"/>
      <c r="S2" s="226"/>
      <c r="T2" s="226"/>
      <c r="U2" s="226"/>
      <c r="V2" s="226"/>
      <c r="W2" s="226"/>
      <c r="X2" s="226"/>
    </row>
    <row r="4" spans="1:24" ht="13.5" customHeight="1">
      <c r="B4" s="188" t="s">
        <v>36</v>
      </c>
      <c r="C4" s="188"/>
      <c r="D4" s="188"/>
      <c r="E4" s="188"/>
      <c r="F4" s="188"/>
      <c r="G4" s="188"/>
      <c r="H4" s="188"/>
      <c r="I4" s="188"/>
      <c r="J4" s="188"/>
      <c r="K4" s="188"/>
      <c r="L4" s="188"/>
      <c r="M4" s="188"/>
      <c r="N4" s="188"/>
      <c r="O4" s="188"/>
      <c r="P4" s="188"/>
      <c r="Q4" s="188"/>
      <c r="R4" s="188"/>
      <c r="S4" s="188"/>
      <c r="T4" s="188"/>
      <c r="U4" s="188"/>
      <c r="V4" s="188"/>
      <c r="W4" s="188"/>
    </row>
    <row r="6" spans="1:24" ht="14.25" customHeight="1">
      <c r="B6" s="189" t="str">
        <f>'지우지마세요!'!C3&amp;"년 "&amp;'지우지마세요!'!E3&amp;"월 "&amp;'지우지마세요!'!G3&amp;"일 ("&amp;'지우지마세요!'!I3&amp;"주)"</f>
        <v>2017년 3월 5일 (18주)</v>
      </c>
      <c r="C6" s="189"/>
      <c r="D6" s="189"/>
      <c r="E6" s="189"/>
      <c r="F6" s="189"/>
      <c r="G6" s="189"/>
      <c r="H6" s="189"/>
      <c r="I6" s="189"/>
      <c r="J6" s="189"/>
      <c r="K6" s="189"/>
      <c r="L6" s="189"/>
      <c r="M6" s="189"/>
      <c r="N6" s="189"/>
      <c r="O6" s="189"/>
      <c r="P6" s="189"/>
      <c r="Q6" s="189"/>
      <c r="R6" s="189"/>
      <c r="S6" s="189"/>
      <c r="T6" s="189"/>
      <c r="U6" s="189"/>
      <c r="V6" s="189"/>
      <c r="W6" s="189"/>
    </row>
    <row r="7" spans="1:24" ht="16.5" customHeight="1">
      <c r="B7" s="190" t="s">
        <v>0</v>
      </c>
      <c r="C7" s="191"/>
      <c r="D7" s="191"/>
      <c r="E7" s="191"/>
      <c r="F7" s="191"/>
      <c r="G7" s="191"/>
    </row>
    <row r="8" spans="1:24" ht="16.5" customHeight="1">
      <c r="B8" s="22" t="s">
        <v>121</v>
      </c>
      <c r="C8" s="22"/>
      <c r="D8" s="198"/>
      <c r="E8" s="198"/>
      <c r="F8" s="198"/>
      <c r="G8" s="23" t="s">
        <v>122</v>
      </c>
      <c r="H8" s="23"/>
      <c r="I8" s="23"/>
      <c r="J8" s="23"/>
      <c r="K8" s="14"/>
    </row>
    <row r="10" spans="1:24" ht="17.45" customHeight="1">
      <c r="A10" s="7"/>
      <c r="B10" s="194" t="s">
        <v>155</v>
      </c>
      <c r="C10" s="194"/>
      <c r="D10" s="194"/>
      <c r="E10" s="194"/>
      <c r="F10" s="194"/>
      <c r="G10" s="194"/>
      <c r="H10" s="194"/>
      <c r="I10" s="194"/>
      <c r="J10" s="194"/>
      <c r="K10" s="194"/>
      <c r="L10" s="7"/>
      <c r="M10" s="197" t="s">
        <v>37</v>
      </c>
      <c r="N10" s="227" t="s">
        <v>1</v>
      </c>
      <c r="O10" s="227"/>
      <c r="P10" s="227"/>
      <c r="Q10" s="227"/>
      <c r="R10" s="227"/>
      <c r="S10" s="227" t="s">
        <v>38</v>
      </c>
      <c r="T10" s="227"/>
      <c r="U10" s="227"/>
      <c r="V10" s="227" t="s">
        <v>2</v>
      </c>
      <c r="W10" s="227"/>
      <c r="X10" s="227"/>
    </row>
    <row r="11" spans="1:24" ht="18" customHeight="1">
      <c r="B11" s="195" t="s">
        <v>129</v>
      </c>
      <c r="C11" s="196"/>
      <c r="D11" s="196"/>
      <c r="E11" s="196"/>
      <c r="F11" s="196"/>
      <c r="G11" s="196"/>
      <c r="H11" s="196"/>
      <c r="I11" s="196"/>
      <c r="J11" s="196"/>
      <c r="K11" s="196"/>
      <c r="L11" s="7"/>
      <c r="M11" s="197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</row>
    <row r="12" spans="1:24" ht="30.75" customHeight="1">
      <c r="B12" s="196"/>
      <c r="C12" s="196"/>
      <c r="D12" s="196"/>
      <c r="E12" s="196"/>
      <c r="F12" s="196"/>
      <c r="G12" s="196"/>
      <c r="H12" s="196"/>
      <c r="I12" s="196"/>
      <c r="J12" s="196"/>
      <c r="K12" s="196"/>
      <c r="L12" s="7"/>
      <c r="M12" s="197"/>
      <c r="N12" s="194"/>
      <c r="O12" s="194"/>
      <c r="P12" s="194"/>
      <c r="Q12" s="194"/>
      <c r="R12" s="194"/>
      <c r="S12" s="194"/>
      <c r="T12" s="194"/>
      <c r="U12" s="194"/>
      <c r="V12" s="194"/>
      <c r="W12" s="194"/>
      <c r="X12" s="194"/>
    </row>
    <row r="14" spans="1:24" ht="17.25">
      <c r="B14" s="192" t="s">
        <v>39</v>
      </c>
      <c r="C14" s="193"/>
      <c r="D14" s="193"/>
      <c r="E14" s="193"/>
      <c r="F14" s="193"/>
      <c r="G14" s="193"/>
      <c r="H14" s="193"/>
      <c r="I14" s="193"/>
      <c r="J14" s="193"/>
      <c r="K14" s="193"/>
      <c r="L14" s="193"/>
      <c r="M14" s="193"/>
      <c r="N14" s="193"/>
      <c r="O14" s="193"/>
      <c r="P14" s="193"/>
      <c r="Q14" s="193"/>
      <c r="R14" s="193"/>
      <c r="S14" s="193"/>
      <c r="T14" s="193"/>
      <c r="U14" s="193"/>
      <c r="V14" s="193"/>
      <c r="W14" s="193"/>
      <c r="X14" s="193"/>
    </row>
    <row r="15" spans="1:24" ht="3" customHeight="1"/>
    <row r="16" spans="1:24" ht="14.25" customHeight="1">
      <c r="B16" s="187" t="s">
        <v>12</v>
      </c>
      <c r="C16" s="187"/>
      <c r="D16" s="187"/>
      <c r="E16" s="187"/>
      <c r="F16" s="187"/>
      <c r="G16" s="187"/>
      <c r="H16" s="187"/>
      <c r="I16" s="187"/>
      <c r="J16" s="187"/>
      <c r="K16" s="187"/>
      <c r="L16" s="187"/>
      <c r="M16" s="187"/>
      <c r="N16" s="199" t="s">
        <v>40</v>
      </c>
      <c r="O16" s="200"/>
      <c r="P16" s="200"/>
      <c r="Q16" s="200"/>
      <c r="R16" s="200"/>
      <c r="S16" s="201"/>
      <c r="T16" s="187" t="s">
        <v>14</v>
      </c>
      <c r="U16" s="187"/>
      <c r="V16" s="187"/>
      <c r="W16" s="187"/>
      <c r="X16" s="187"/>
    </row>
    <row r="17" spans="2:24" ht="14.25" customHeight="1">
      <c r="B17" s="187" t="s">
        <v>13</v>
      </c>
      <c r="C17" s="187"/>
      <c r="D17" s="187"/>
      <c r="E17" s="187"/>
      <c r="F17" s="187" t="s">
        <v>41</v>
      </c>
      <c r="G17" s="187"/>
      <c r="H17" s="187"/>
      <c r="I17" s="187"/>
      <c r="J17" s="187"/>
      <c r="K17" s="187"/>
      <c r="L17" s="187"/>
      <c r="M17" s="187"/>
      <c r="N17" s="202"/>
      <c r="O17" s="203"/>
      <c r="P17" s="203"/>
      <c r="Q17" s="203"/>
      <c r="R17" s="203"/>
      <c r="S17" s="204"/>
      <c r="T17" s="187"/>
      <c r="U17" s="187"/>
      <c r="V17" s="187"/>
      <c r="W17" s="187"/>
      <c r="X17" s="187"/>
    </row>
    <row r="18" spans="2:24" ht="14.25" customHeight="1">
      <c r="B18" s="187" t="s">
        <v>42</v>
      </c>
      <c r="C18" s="187"/>
      <c r="D18" s="187"/>
      <c r="E18" s="187"/>
      <c r="F18" s="176" t="s">
        <v>43</v>
      </c>
      <c r="G18" s="176"/>
      <c r="H18" s="176"/>
      <c r="I18" s="176"/>
      <c r="J18" s="176"/>
      <c r="K18" s="176"/>
      <c r="L18" s="176"/>
      <c r="M18" s="176"/>
      <c r="N18" s="161">
        <f>헌금집계표!E6</f>
        <v>0</v>
      </c>
      <c r="O18" s="162"/>
      <c r="P18" s="162"/>
      <c r="Q18" s="162"/>
      <c r="R18" s="162"/>
      <c r="S18" s="163"/>
      <c r="T18" s="172">
        <f>헌금집계표!H6</f>
        <v>0</v>
      </c>
      <c r="U18" s="172"/>
      <c r="V18" s="172"/>
      <c r="W18" s="172"/>
      <c r="X18" s="172"/>
    </row>
    <row r="19" spans="2:24" ht="14.25" customHeight="1">
      <c r="B19" s="187"/>
      <c r="C19" s="187"/>
      <c r="D19" s="187"/>
      <c r="E19" s="187"/>
      <c r="F19" s="176" t="str">
        <f>'지우지마세요!'!H4</f>
        <v>감사헌금</v>
      </c>
      <c r="G19" s="176"/>
      <c r="H19" s="176"/>
      <c r="I19" s="176"/>
      <c r="J19" s="176"/>
      <c r="K19" s="176"/>
      <c r="L19" s="176"/>
      <c r="M19" s="176"/>
      <c r="N19" s="161">
        <f>헌금집계표!E7</f>
        <v>0</v>
      </c>
      <c r="O19" s="162"/>
      <c r="P19" s="162"/>
      <c r="Q19" s="162"/>
      <c r="R19" s="162"/>
      <c r="S19" s="163"/>
      <c r="T19" s="172">
        <f>헌금집계표!H7</f>
        <v>0</v>
      </c>
      <c r="U19" s="172"/>
      <c r="V19" s="172"/>
      <c r="W19" s="172"/>
      <c r="X19" s="172"/>
    </row>
    <row r="20" spans="2:24" ht="14.25" customHeight="1">
      <c r="B20" s="187"/>
      <c r="C20" s="187"/>
      <c r="D20" s="187"/>
      <c r="E20" s="187"/>
      <c r="F20" s="176" t="s">
        <v>44</v>
      </c>
      <c r="G20" s="176"/>
      <c r="H20" s="176"/>
      <c r="I20" s="176"/>
      <c r="J20" s="176"/>
      <c r="K20" s="176"/>
      <c r="L20" s="176"/>
      <c r="M20" s="176"/>
      <c r="N20" s="161">
        <f>헌금집계표!E8</f>
        <v>0</v>
      </c>
      <c r="O20" s="162"/>
      <c r="P20" s="162"/>
      <c r="Q20" s="162"/>
      <c r="R20" s="162"/>
      <c r="S20" s="163"/>
      <c r="T20" s="172">
        <f>헌금집계표!H8</f>
        <v>0</v>
      </c>
      <c r="U20" s="172"/>
      <c r="V20" s="172"/>
      <c r="W20" s="172"/>
      <c r="X20" s="172"/>
    </row>
    <row r="21" spans="2:24" ht="14.25" customHeight="1">
      <c r="B21" s="187"/>
      <c r="C21" s="187"/>
      <c r="D21" s="187"/>
      <c r="E21" s="187"/>
      <c r="F21" s="176" t="s">
        <v>45</v>
      </c>
      <c r="G21" s="176"/>
      <c r="H21" s="176"/>
      <c r="I21" s="176"/>
      <c r="J21" s="176"/>
      <c r="K21" s="176"/>
      <c r="L21" s="176"/>
      <c r="M21" s="176"/>
      <c r="N21" s="161">
        <f>헌금집계표!E9</f>
        <v>0</v>
      </c>
      <c r="O21" s="162"/>
      <c r="P21" s="162"/>
      <c r="Q21" s="162"/>
      <c r="R21" s="162"/>
      <c r="S21" s="163"/>
      <c r="T21" s="172">
        <f>헌금집계표!H9</f>
        <v>0</v>
      </c>
      <c r="U21" s="172"/>
      <c r="V21" s="172"/>
      <c r="W21" s="172"/>
      <c r="X21" s="172"/>
    </row>
    <row r="22" spans="2:24" ht="14.25" customHeight="1">
      <c r="B22" s="187"/>
      <c r="C22" s="187"/>
      <c r="D22" s="187"/>
      <c r="E22" s="187"/>
      <c r="F22" s="176" t="s">
        <v>4</v>
      </c>
      <c r="G22" s="176"/>
      <c r="H22" s="176"/>
      <c r="I22" s="176"/>
      <c r="J22" s="176"/>
      <c r="K22" s="176"/>
      <c r="L22" s="176"/>
      <c r="M22" s="176"/>
      <c r="N22" s="161">
        <f>헌금집계표!E10</f>
        <v>0</v>
      </c>
      <c r="O22" s="162"/>
      <c r="P22" s="162"/>
      <c r="Q22" s="162"/>
      <c r="R22" s="162"/>
      <c r="S22" s="163"/>
      <c r="T22" s="172">
        <f>헌금집계표!H10</f>
        <v>0</v>
      </c>
      <c r="U22" s="172"/>
      <c r="V22" s="172"/>
      <c r="W22" s="172"/>
      <c r="X22" s="172"/>
    </row>
    <row r="23" spans="2:24" ht="14.25" customHeight="1">
      <c r="B23" s="176" t="s">
        <v>5</v>
      </c>
      <c r="C23" s="176"/>
      <c r="D23" s="176"/>
      <c r="E23" s="176"/>
      <c r="F23" s="176" t="s">
        <v>5</v>
      </c>
      <c r="G23" s="176"/>
      <c r="H23" s="176"/>
      <c r="I23" s="176"/>
      <c r="J23" s="176"/>
      <c r="K23" s="176"/>
      <c r="L23" s="176"/>
      <c r="M23" s="176"/>
      <c r="N23" s="161"/>
      <c r="O23" s="162"/>
      <c r="P23" s="162"/>
      <c r="Q23" s="162"/>
      <c r="R23" s="162"/>
      <c r="S23" s="163"/>
      <c r="T23" s="172">
        <f>헌금집계표!R7</f>
        <v>0</v>
      </c>
      <c r="U23" s="172"/>
      <c r="V23" s="172"/>
      <c r="W23" s="172"/>
      <c r="X23" s="172"/>
    </row>
    <row r="24" spans="2:24" ht="14.25" customHeight="1">
      <c r="B24" s="176" t="s">
        <v>6</v>
      </c>
      <c r="C24" s="176"/>
      <c r="D24" s="176"/>
      <c r="E24" s="176"/>
      <c r="F24" s="176" t="s">
        <v>6</v>
      </c>
      <c r="G24" s="176"/>
      <c r="H24" s="176"/>
      <c r="I24" s="176"/>
      <c r="J24" s="176"/>
      <c r="K24" s="176"/>
      <c r="L24" s="176"/>
      <c r="M24" s="176"/>
      <c r="N24" s="161"/>
      <c r="O24" s="162"/>
      <c r="P24" s="162"/>
      <c r="Q24" s="162"/>
      <c r="R24" s="162"/>
      <c r="S24" s="163"/>
      <c r="T24" s="172">
        <f>헌금집계표!R6</f>
        <v>0</v>
      </c>
      <c r="U24" s="172"/>
      <c r="V24" s="172"/>
      <c r="W24" s="172"/>
      <c r="X24" s="172"/>
    </row>
    <row r="25" spans="2:24" ht="14.25" customHeight="1">
      <c r="B25" s="177" t="s">
        <v>46</v>
      </c>
      <c r="C25" s="178"/>
      <c r="D25" s="178"/>
      <c r="E25" s="179"/>
      <c r="F25" s="177" t="s">
        <v>7</v>
      </c>
      <c r="G25" s="178"/>
      <c r="H25" s="178"/>
      <c r="I25" s="178"/>
      <c r="J25" s="178"/>
      <c r="K25" s="178"/>
      <c r="L25" s="178"/>
      <c r="M25" s="179"/>
      <c r="N25" s="161">
        <f>헌금집계표!O9</f>
        <v>0</v>
      </c>
      <c r="O25" s="162"/>
      <c r="P25" s="162"/>
      <c r="Q25" s="162"/>
      <c r="R25" s="162"/>
      <c r="S25" s="163"/>
      <c r="T25" s="173">
        <f>헌금집계표!R9</f>
        <v>0</v>
      </c>
      <c r="U25" s="174"/>
      <c r="V25" s="174"/>
      <c r="W25" s="174"/>
      <c r="X25" s="175"/>
    </row>
    <row r="26" spans="2:24" ht="14.25" customHeight="1">
      <c r="B26" s="176" t="s">
        <v>47</v>
      </c>
      <c r="C26" s="176"/>
      <c r="D26" s="176"/>
      <c r="E26" s="176"/>
      <c r="F26" s="176" t="s">
        <v>8</v>
      </c>
      <c r="G26" s="176"/>
      <c r="H26" s="176"/>
      <c r="I26" s="176"/>
      <c r="J26" s="176"/>
      <c r="K26" s="176"/>
      <c r="L26" s="176"/>
      <c r="M26" s="176"/>
      <c r="N26" s="161">
        <f>헌금집계표!O10</f>
        <v>0</v>
      </c>
      <c r="O26" s="162"/>
      <c r="P26" s="162"/>
      <c r="Q26" s="162"/>
      <c r="R26" s="162"/>
      <c r="S26" s="163"/>
      <c r="T26" s="172">
        <f>헌금집계표!R10</f>
        <v>0</v>
      </c>
      <c r="U26" s="172"/>
      <c r="V26" s="172"/>
      <c r="W26" s="172"/>
      <c r="X26" s="172"/>
    </row>
    <row r="27" spans="2:24" ht="14.25" customHeight="1">
      <c r="B27" s="208" t="s">
        <v>128</v>
      </c>
      <c r="C27" s="209"/>
      <c r="D27" s="209"/>
      <c r="E27" s="209"/>
      <c r="F27" s="209"/>
      <c r="G27" s="209"/>
      <c r="H27" s="209"/>
      <c r="I27" s="209"/>
      <c r="J27" s="209"/>
      <c r="K27" s="209"/>
      <c r="L27" s="209"/>
      <c r="M27" s="210"/>
      <c r="N27" s="161">
        <f>SUM(N18:S26)</f>
        <v>0</v>
      </c>
      <c r="O27" s="162"/>
      <c r="P27" s="162"/>
      <c r="Q27" s="162"/>
      <c r="R27" s="162"/>
      <c r="S27" s="163"/>
      <c r="T27" s="172">
        <f>SUM(T18:X26)</f>
        <v>0</v>
      </c>
      <c r="U27" s="172"/>
      <c r="V27" s="172"/>
      <c r="W27" s="172"/>
      <c r="X27" s="172"/>
    </row>
    <row r="29" spans="2:24" ht="13.5" customHeight="1">
      <c r="B29" s="164" t="s">
        <v>137</v>
      </c>
      <c r="C29" s="165"/>
      <c r="D29" s="165"/>
      <c r="E29" s="165"/>
      <c r="F29" s="168" t="s">
        <v>138</v>
      </c>
      <c r="G29" s="169"/>
      <c r="H29" s="169"/>
      <c r="I29" s="169"/>
      <c r="J29" s="169"/>
      <c r="K29" s="170"/>
      <c r="L29" s="180" t="s">
        <v>178</v>
      </c>
      <c r="M29" s="180"/>
      <c r="N29" s="180"/>
      <c r="O29" s="180"/>
      <c r="P29" s="180"/>
      <c r="Q29" s="180"/>
      <c r="R29" s="180"/>
      <c r="S29" s="180"/>
      <c r="T29" s="184" t="s">
        <v>179</v>
      </c>
      <c r="U29" s="185"/>
      <c r="V29" s="185"/>
      <c r="W29" s="185"/>
      <c r="X29" s="186"/>
    </row>
    <row r="30" spans="2:24" ht="13.5" customHeight="1">
      <c r="B30" s="166"/>
      <c r="C30" s="167"/>
      <c r="D30" s="167"/>
      <c r="E30" s="167"/>
      <c r="F30" s="171">
        <f>T27</f>
        <v>0</v>
      </c>
      <c r="G30" s="171"/>
      <c r="H30" s="171"/>
      <c r="I30" s="171"/>
      <c r="J30" s="171"/>
      <c r="K30" s="171"/>
      <c r="L30" s="181">
        <f>헌금입금확인서!T16</f>
        <v>0</v>
      </c>
      <c r="M30" s="182"/>
      <c r="N30" s="182"/>
      <c r="O30" s="182"/>
      <c r="P30" s="182"/>
      <c r="Q30" s="182"/>
      <c r="R30" s="182"/>
      <c r="S30" s="183"/>
      <c r="T30" s="181">
        <f>헌금집계표!AQ14</f>
        <v>0</v>
      </c>
      <c r="U30" s="182"/>
      <c r="V30" s="182"/>
      <c r="W30" s="182"/>
      <c r="X30" s="183"/>
    </row>
    <row r="32" spans="2:24" ht="17.25">
      <c r="B32" s="192" t="s">
        <v>48</v>
      </c>
      <c r="C32" s="193"/>
      <c r="D32" s="193"/>
      <c r="E32" s="193"/>
      <c r="F32" s="193"/>
      <c r="G32" s="193"/>
      <c r="H32" s="193"/>
      <c r="I32" s="193"/>
      <c r="J32" s="193"/>
      <c r="K32" s="193"/>
      <c r="L32" s="193"/>
      <c r="M32" s="193"/>
      <c r="N32" s="193"/>
      <c r="O32" s="193"/>
      <c r="P32" s="193"/>
      <c r="Q32" s="193"/>
      <c r="R32" s="193"/>
      <c r="S32" s="193"/>
      <c r="T32" s="193"/>
      <c r="U32" s="193"/>
      <c r="V32" s="193"/>
      <c r="W32" s="193"/>
      <c r="X32" s="193"/>
    </row>
    <row r="33" spans="2:24" ht="3.75" customHeight="1"/>
    <row r="34" spans="2:24" ht="14.25" customHeight="1">
      <c r="B34" s="215" t="s">
        <v>130</v>
      </c>
      <c r="C34" s="180"/>
      <c r="D34" s="180"/>
      <c r="E34" s="180"/>
      <c r="F34" s="180"/>
      <c r="G34" s="180" t="s">
        <v>131</v>
      </c>
      <c r="H34" s="180"/>
      <c r="I34" s="180"/>
      <c r="J34" s="180"/>
      <c r="K34" s="180"/>
      <c r="L34" s="180" t="s">
        <v>132</v>
      </c>
      <c r="M34" s="180"/>
      <c r="N34" s="180"/>
      <c r="O34" s="180"/>
      <c r="P34" s="180"/>
      <c r="Q34" s="180"/>
      <c r="R34" s="180"/>
      <c r="S34" s="180"/>
      <c r="T34" s="184" t="s">
        <v>133</v>
      </c>
      <c r="U34" s="185"/>
      <c r="V34" s="185"/>
      <c r="W34" s="185"/>
      <c r="X34" s="186"/>
    </row>
    <row r="35" spans="2:24" ht="14.25" customHeight="1">
      <c r="B35" s="229" t="s">
        <v>134</v>
      </c>
      <c r="C35" s="229"/>
      <c r="D35" s="229"/>
      <c r="E35" s="229"/>
      <c r="F35" s="229"/>
      <c r="G35" s="230">
        <f>지출내역!E48-G36</f>
        <v>0</v>
      </c>
      <c r="H35" s="230"/>
      <c r="I35" s="230"/>
      <c r="J35" s="230"/>
      <c r="K35" s="230"/>
      <c r="L35" s="230">
        <f>지출내역!F48-L36</f>
        <v>0</v>
      </c>
      <c r="M35" s="230"/>
      <c r="N35" s="230"/>
      <c r="O35" s="230"/>
      <c r="P35" s="230"/>
      <c r="Q35" s="230"/>
      <c r="R35" s="230"/>
      <c r="S35" s="230"/>
      <c r="T35" s="205">
        <f>G35+L35</f>
        <v>0</v>
      </c>
      <c r="U35" s="206"/>
      <c r="V35" s="206"/>
      <c r="W35" s="206"/>
      <c r="X35" s="207"/>
    </row>
    <row r="36" spans="2:24" ht="14.25" customHeight="1">
      <c r="B36" s="229" t="s">
        <v>135</v>
      </c>
      <c r="C36" s="229"/>
      <c r="D36" s="229"/>
      <c r="E36" s="229"/>
      <c r="F36" s="229"/>
      <c r="G36" s="230"/>
      <c r="H36" s="230"/>
      <c r="I36" s="230"/>
      <c r="J36" s="230"/>
      <c r="K36" s="230"/>
      <c r="L36" s="230">
        <f>T25</f>
        <v>0</v>
      </c>
      <c r="M36" s="230"/>
      <c r="N36" s="230"/>
      <c r="O36" s="230"/>
      <c r="P36" s="230"/>
      <c r="Q36" s="230"/>
      <c r="R36" s="230"/>
      <c r="S36" s="230"/>
      <c r="T36" s="205">
        <f>G36+L36</f>
        <v>0</v>
      </c>
      <c r="U36" s="206"/>
      <c r="V36" s="206"/>
      <c r="W36" s="206"/>
      <c r="X36" s="207"/>
    </row>
    <row r="37" spans="2:24" ht="14.25" customHeight="1">
      <c r="B37" s="180" t="s">
        <v>136</v>
      </c>
      <c r="C37" s="180"/>
      <c r="D37" s="180"/>
      <c r="E37" s="180"/>
      <c r="F37" s="180"/>
      <c r="G37" s="230">
        <f>G35+G36</f>
        <v>0</v>
      </c>
      <c r="H37" s="230"/>
      <c r="I37" s="230"/>
      <c r="J37" s="230"/>
      <c r="K37" s="230"/>
      <c r="L37" s="230">
        <f>L35+L36</f>
        <v>0</v>
      </c>
      <c r="M37" s="230"/>
      <c r="N37" s="230"/>
      <c r="O37" s="230"/>
      <c r="P37" s="230"/>
      <c r="Q37" s="230"/>
      <c r="R37" s="230"/>
      <c r="S37" s="230"/>
      <c r="T37" s="205">
        <f>T35+T36</f>
        <v>0</v>
      </c>
      <c r="U37" s="206"/>
      <c r="V37" s="206"/>
      <c r="W37" s="206"/>
      <c r="X37" s="207"/>
    </row>
    <row r="38" spans="2:24" ht="5.25" customHeight="1"/>
    <row r="39" spans="2:24">
      <c r="B39" s="7" t="s">
        <v>139</v>
      </c>
      <c r="C39" s="7"/>
      <c r="D39" s="7"/>
      <c r="E39" s="7"/>
      <c r="F39" s="7"/>
      <c r="G39" s="7"/>
      <c r="H39" s="7"/>
      <c r="I39" s="7"/>
      <c r="J39" s="7"/>
      <c r="K39" s="7"/>
      <c r="L39" s="225">
        <f>L37-송금요청서!D48</f>
        <v>0</v>
      </c>
      <c r="M39" s="225"/>
      <c r="N39" s="225"/>
      <c r="O39" s="225"/>
      <c r="P39" s="225"/>
      <c r="Q39" s="225"/>
      <c r="R39" s="225"/>
      <c r="S39" s="225"/>
      <c r="T39" s="7"/>
      <c r="U39" s="7"/>
      <c r="V39" s="7"/>
      <c r="W39" s="7"/>
      <c r="X39" s="7"/>
    </row>
    <row r="41" spans="2:24" ht="16.5">
      <c r="B41" s="228" t="s">
        <v>10</v>
      </c>
      <c r="C41" s="228"/>
      <c r="D41" s="228"/>
      <c r="E41" s="228"/>
      <c r="F41" s="228"/>
      <c r="G41" s="228"/>
      <c r="H41" s="228"/>
      <c r="I41" s="228"/>
      <c r="J41" s="228"/>
      <c r="K41" s="228"/>
      <c r="L41" s="228"/>
      <c r="M41" s="228"/>
      <c r="N41" s="228"/>
      <c r="O41" s="228"/>
      <c r="P41" s="228"/>
      <c r="Q41" s="228"/>
      <c r="R41" s="228"/>
      <c r="S41" s="228"/>
      <c r="T41" s="228"/>
      <c r="U41" s="228"/>
      <c r="V41" s="228"/>
      <c r="W41" s="228"/>
      <c r="X41" s="228"/>
    </row>
    <row r="42" spans="2:24" ht="3.75" customHeight="1"/>
    <row r="43" spans="2:24" ht="14.25" customHeight="1">
      <c r="B43" s="194" t="s">
        <v>49</v>
      </c>
      <c r="C43" s="194"/>
      <c r="D43" s="194"/>
      <c r="E43" s="194"/>
      <c r="F43" s="194"/>
      <c r="G43" s="194" t="s">
        <v>57</v>
      </c>
      <c r="H43" s="194"/>
      <c r="I43" s="194"/>
      <c r="J43" s="194"/>
      <c r="K43" s="194"/>
      <c r="L43" s="219" t="s">
        <v>58</v>
      </c>
      <c r="M43" s="220"/>
      <c r="N43" s="220"/>
      <c r="O43" s="220"/>
      <c r="P43" s="220"/>
      <c r="Q43" s="220"/>
      <c r="R43" s="220"/>
      <c r="S43" s="221"/>
      <c r="T43" s="219" t="s">
        <v>59</v>
      </c>
      <c r="U43" s="220"/>
      <c r="V43" s="220"/>
      <c r="W43" s="220"/>
      <c r="X43" s="221"/>
    </row>
    <row r="44" spans="2:24" ht="14.25" customHeight="1">
      <c r="B44" s="194" t="s">
        <v>50</v>
      </c>
      <c r="C44" s="194"/>
      <c r="D44" s="194" t="s">
        <v>51</v>
      </c>
      <c r="E44" s="194"/>
      <c r="F44" s="194"/>
      <c r="G44" s="214"/>
      <c r="H44" s="214"/>
      <c r="I44" s="214"/>
      <c r="J44" s="214"/>
      <c r="K44" s="214"/>
      <c r="L44" s="216">
        <f>T27-T25</f>
        <v>0</v>
      </c>
      <c r="M44" s="217"/>
      <c r="N44" s="217"/>
      <c r="O44" s="217"/>
      <c r="P44" s="217"/>
      <c r="Q44" s="217"/>
      <c r="R44" s="217"/>
      <c r="S44" s="218"/>
      <c r="T44" s="211"/>
      <c r="U44" s="212"/>
      <c r="V44" s="212"/>
      <c r="W44" s="212"/>
      <c r="X44" s="213"/>
    </row>
    <row r="45" spans="2:24" ht="14.25" customHeight="1">
      <c r="B45" s="194"/>
      <c r="C45" s="194"/>
      <c r="D45" s="194" t="s">
        <v>52</v>
      </c>
      <c r="E45" s="194"/>
      <c r="F45" s="194"/>
      <c r="G45" s="214"/>
      <c r="H45" s="214"/>
      <c r="I45" s="214"/>
      <c r="J45" s="214"/>
      <c r="K45" s="214"/>
      <c r="L45" s="216">
        <f>T25</f>
        <v>0</v>
      </c>
      <c r="M45" s="217"/>
      <c r="N45" s="217"/>
      <c r="O45" s="217"/>
      <c r="P45" s="217"/>
      <c r="Q45" s="217"/>
      <c r="R45" s="217"/>
      <c r="S45" s="218"/>
      <c r="T45" s="211"/>
      <c r="U45" s="212"/>
      <c r="V45" s="212"/>
      <c r="W45" s="212"/>
      <c r="X45" s="213"/>
    </row>
    <row r="46" spans="2:24" ht="14.25" customHeight="1">
      <c r="B46" s="194"/>
      <c r="C46" s="194"/>
      <c r="D46" s="194" t="s">
        <v>53</v>
      </c>
      <c r="E46" s="194"/>
      <c r="F46" s="194"/>
      <c r="G46" s="214">
        <f>'지우지마세요!'!G7:J7</f>
        <v>542225536</v>
      </c>
      <c r="H46" s="214"/>
      <c r="I46" s="214"/>
      <c r="J46" s="214"/>
      <c r="K46" s="214"/>
      <c r="L46" s="216">
        <f>L44+L45</f>
        <v>0</v>
      </c>
      <c r="M46" s="217"/>
      <c r="N46" s="217"/>
      <c r="O46" s="217"/>
      <c r="P46" s="217"/>
      <c r="Q46" s="217"/>
      <c r="R46" s="217"/>
      <c r="S46" s="218"/>
      <c r="T46" s="216">
        <f>G46+L46</f>
        <v>542225536</v>
      </c>
      <c r="U46" s="217"/>
      <c r="V46" s="217"/>
      <c r="W46" s="217"/>
      <c r="X46" s="218"/>
    </row>
    <row r="47" spans="2:24" ht="14.25" customHeight="1">
      <c r="B47" s="194" t="s">
        <v>54</v>
      </c>
      <c r="C47" s="194"/>
      <c r="D47" s="194"/>
      <c r="E47" s="194"/>
      <c r="F47" s="194"/>
      <c r="G47" s="214">
        <f>'지우지마세요!'!G8:J8</f>
        <v>529925551</v>
      </c>
      <c r="H47" s="214"/>
      <c r="I47" s="214"/>
      <c r="J47" s="214"/>
      <c r="K47" s="214"/>
      <c r="L47" s="216">
        <f>T37</f>
        <v>0</v>
      </c>
      <c r="M47" s="217"/>
      <c r="N47" s="217"/>
      <c r="O47" s="217"/>
      <c r="P47" s="217"/>
      <c r="Q47" s="217"/>
      <c r="R47" s="217"/>
      <c r="S47" s="218"/>
      <c r="T47" s="216">
        <f>G47+L47</f>
        <v>529925551</v>
      </c>
      <c r="U47" s="217"/>
      <c r="V47" s="217"/>
      <c r="W47" s="217"/>
      <c r="X47" s="218"/>
    </row>
    <row r="48" spans="2:24" ht="14.25" customHeight="1">
      <c r="B48" s="194" t="s">
        <v>55</v>
      </c>
      <c r="C48" s="194"/>
      <c r="D48" s="194"/>
      <c r="E48" s="194"/>
      <c r="F48" s="194"/>
      <c r="G48" s="214">
        <f>'지우지마세요!'!G9:J9</f>
        <v>46135660</v>
      </c>
      <c r="H48" s="214"/>
      <c r="I48" s="214"/>
      <c r="J48" s="214"/>
      <c r="K48" s="214"/>
      <c r="L48" s="216"/>
      <c r="M48" s="217"/>
      <c r="N48" s="217"/>
      <c r="O48" s="217"/>
      <c r="P48" s="217"/>
      <c r="Q48" s="217"/>
      <c r="R48" s="217"/>
      <c r="S48" s="218"/>
      <c r="T48" s="216">
        <f>G48+L48</f>
        <v>46135660</v>
      </c>
      <c r="U48" s="217"/>
      <c r="V48" s="217"/>
      <c r="W48" s="217"/>
      <c r="X48" s="218"/>
    </row>
    <row r="49" spans="2:24" ht="14.25" customHeight="1">
      <c r="B49" s="194" t="s">
        <v>56</v>
      </c>
      <c r="C49" s="194"/>
      <c r="D49" s="194"/>
      <c r="E49" s="194"/>
      <c r="F49" s="194"/>
      <c r="G49" s="214">
        <f>'지우지마세요!'!G10:J10</f>
        <v>58435645</v>
      </c>
      <c r="H49" s="214"/>
      <c r="I49" s="214"/>
      <c r="J49" s="214"/>
      <c r="K49" s="214"/>
      <c r="L49" s="222">
        <f>L46-L47</f>
        <v>0</v>
      </c>
      <c r="M49" s="223"/>
      <c r="N49" s="223"/>
      <c r="O49" s="223"/>
      <c r="P49" s="223"/>
      <c r="Q49" s="223"/>
      <c r="R49" s="223"/>
      <c r="S49" s="224"/>
      <c r="T49" s="216">
        <f>G49+L49</f>
        <v>58435645</v>
      </c>
      <c r="U49" s="217"/>
      <c r="V49" s="217"/>
      <c r="W49" s="217"/>
      <c r="X49" s="218"/>
    </row>
    <row r="51" spans="2:24" ht="16.5">
      <c r="B51" s="19"/>
      <c r="C51" s="19"/>
      <c r="D51" s="19"/>
      <c r="E51" s="19"/>
      <c r="F51" s="19"/>
      <c r="G51" s="19"/>
      <c r="H51" s="19"/>
      <c r="I51" s="19"/>
      <c r="J51" s="19"/>
      <c r="K51" s="19"/>
      <c r="L51" s="19"/>
      <c r="M51" s="19"/>
      <c r="N51" s="19"/>
      <c r="O51" s="19"/>
      <c r="P51" s="19"/>
      <c r="Q51" s="19"/>
      <c r="R51" s="19"/>
      <c r="S51" s="20"/>
      <c r="T51" s="20"/>
      <c r="U51" s="20"/>
      <c r="V51" s="20"/>
      <c r="W51" s="20"/>
      <c r="X51" s="20"/>
    </row>
  </sheetData>
  <sheetProtection password="CFDC" sheet="1" objects="1" scenarios="1"/>
  <mergeCells count="110">
    <mergeCell ref="B2:X2"/>
    <mergeCell ref="N10:R10"/>
    <mergeCell ref="S10:U10"/>
    <mergeCell ref="V10:X10"/>
    <mergeCell ref="S11:U12"/>
    <mergeCell ref="V11:X12"/>
    <mergeCell ref="N11:R12"/>
    <mergeCell ref="G43:K43"/>
    <mergeCell ref="G44:K44"/>
    <mergeCell ref="B41:X41"/>
    <mergeCell ref="T43:X43"/>
    <mergeCell ref="T44:X44"/>
    <mergeCell ref="B35:F35"/>
    <mergeCell ref="B36:F36"/>
    <mergeCell ref="B37:F37"/>
    <mergeCell ref="G35:K35"/>
    <mergeCell ref="G36:K36"/>
    <mergeCell ref="G37:K37"/>
    <mergeCell ref="L35:S35"/>
    <mergeCell ref="L36:S36"/>
    <mergeCell ref="L37:S37"/>
    <mergeCell ref="T21:X21"/>
    <mergeCell ref="T22:X22"/>
    <mergeCell ref="N27:S27"/>
    <mergeCell ref="G46:K46"/>
    <mergeCell ref="G47:K47"/>
    <mergeCell ref="G48:K48"/>
    <mergeCell ref="G49:K49"/>
    <mergeCell ref="B43:F43"/>
    <mergeCell ref="B44:C46"/>
    <mergeCell ref="D44:F44"/>
    <mergeCell ref="D45:F45"/>
    <mergeCell ref="D46:F46"/>
    <mergeCell ref="B47:F47"/>
    <mergeCell ref="B48:F48"/>
    <mergeCell ref="B49:F49"/>
    <mergeCell ref="L34:S34"/>
    <mergeCell ref="T46:X46"/>
    <mergeCell ref="T47:X47"/>
    <mergeCell ref="T48:X48"/>
    <mergeCell ref="T49:X49"/>
    <mergeCell ref="L43:S43"/>
    <mergeCell ref="L44:S44"/>
    <mergeCell ref="L45:S45"/>
    <mergeCell ref="L46:S46"/>
    <mergeCell ref="L47:S47"/>
    <mergeCell ref="L48:S48"/>
    <mergeCell ref="L49:S49"/>
    <mergeCell ref="L39:S39"/>
    <mergeCell ref="F22:M22"/>
    <mergeCell ref="T18:X18"/>
    <mergeCell ref="T35:X35"/>
    <mergeCell ref="N18:S18"/>
    <mergeCell ref="T26:X26"/>
    <mergeCell ref="T27:X27"/>
    <mergeCell ref="T34:X34"/>
    <mergeCell ref="B27:M27"/>
    <mergeCell ref="T45:X45"/>
    <mergeCell ref="G45:K45"/>
    <mergeCell ref="T36:X36"/>
    <mergeCell ref="T37:X37"/>
    <mergeCell ref="B26:E26"/>
    <mergeCell ref="F23:M23"/>
    <mergeCell ref="F24:M24"/>
    <mergeCell ref="F25:M25"/>
    <mergeCell ref="F26:M26"/>
    <mergeCell ref="B24:E24"/>
    <mergeCell ref="N23:S23"/>
    <mergeCell ref="B32:X32"/>
    <mergeCell ref="B34:F34"/>
    <mergeCell ref="N24:S24"/>
    <mergeCell ref="G34:K34"/>
    <mergeCell ref="N19:S19"/>
    <mergeCell ref="B4:W4"/>
    <mergeCell ref="B6:W6"/>
    <mergeCell ref="B7:G7"/>
    <mergeCell ref="B14:X14"/>
    <mergeCell ref="T16:X17"/>
    <mergeCell ref="B10:K10"/>
    <mergeCell ref="B11:K12"/>
    <mergeCell ref="M10:M12"/>
    <mergeCell ref="D8:F8"/>
    <mergeCell ref="B16:M16"/>
    <mergeCell ref="B17:E17"/>
    <mergeCell ref="F17:M17"/>
    <mergeCell ref="N16:S17"/>
    <mergeCell ref="N26:S26"/>
    <mergeCell ref="B29:E30"/>
    <mergeCell ref="F29:K29"/>
    <mergeCell ref="F30:K30"/>
    <mergeCell ref="T19:X19"/>
    <mergeCell ref="T20:X20"/>
    <mergeCell ref="T24:X24"/>
    <mergeCell ref="T25:X25"/>
    <mergeCell ref="T23:X23"/>
    <mergeCell ref="B23:E23"/>
    <mergeCell ref="B25:E25"/>
    <mergeCell ref="N20:S20"/>
    <mergeCell ref="N21:S21"/>
    <mergeCell ref="N22:S22"/>
    <mergeCell ref="N25:S25"/>
    <mergeCell ref="L29:S29"/>
    <mergeCell ref="L30:S30"/>
    <mergeCell ref="T29:X29"/>
    <mergeCell ref="T30:X30"/>
    <mergeCell ref="B18:E22"/>
    <mergeCell ref="F18:M18"/>
    <mergeCell ref="F19:M19"/>
    <mergeCell ref="F20:M20"/>
    <mergeCell ref="F21:M21"/>
  </mergeCells>
  <phoneticPr fontId="1" type="noConversion"/>
  <conditionalFormatting sqref="F30:K30">
    <cfRule type="expression" dxfId="2" priority="1">
      <formula>(F30&lt;&gt;L30+T30)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4:X38"/>
  <sheetViews>
    <sheetView showGridLines="0" zoomScaleNormal="100" zoomScaleSheetLayoutView="100" workbookViewId="0">
      <selection activeCell="A13" sqref="A1:XFD1048576"/>
    </sheetView>
  </sheetViews>
  <sheetFormatPr defaultColWidth="8.75" defaultRowHeight="12"/>
  <cols>
    <col min="1" max="1" width="1" style="2" customWidth="1"/>
    <col min="2" max="13" width="3.75" style="2" customWidth="1"/>
    <col min="14" max="14" width="1.5" style="2" customWidth="1"/>
    <col min="15" max="15" width="0.875" style="2" customWidth="1"/>
    <col min="16" max="16" width="1.125" style="2" customWidth="1"/>
    <col min="17" max="17" width="2.75" style="2" customWidth="1"/>
    <col min="18" max="18" width="3.75" style="2" customWidth="1"/>
    <col min="19" max="19" width="5.125" style="2" customWidth="1"/>
    <col min="20" max="20" width="2.125" style="2" customWidth="1"/>
    <col min="21" max="21" width="3.875" style="2" customWidth="1"/>
    <col min="22" max="22" width="3.75" style="2" customWidth="1"/>
    <col min="23" max="23" width="3" style="2" customWidth="1"/>
    <col min="24" max="25" width="3.75" style="2" customWidth="1"/>
    <col min="26" max="16384" width="8.75" style="2"/>
  </cols>
  <sheetData>
    <row r="4" spans="1:24" ht="33.75">
      <c r="B4" s="250" t="s">
        <v>141</v>
      </c>
      <c r="C4" s="250"/>
      <c r="D4" s="250"/>
      <c r="E4" s="250"/>
      <c r="F4" s="250"/>
      <c r="G4" s="250"/>
      <c r="H4" s="250"/>
      <c r="I4" s="250"/>
      <c r="J4" s="250"/>
      <c r="K4" s="250"/>
      <c r="L4" s="250"/>
      <c r="M4" s="250"/>
      <c r="N4" s="250"/>
      <c r="O4" s="250"/>
      <c r="P4" s="250"/>
      <c r="Q4" s="250"/>
      <c r="R4" s="250"/>
      <c r="S4" s="250"/>
      <c r="T4" s="250"/>
      <c r="U4" s="250"/>
      <c r="V4" s="250"/>
      <c r="W4" s="250"/>
      <c r="X4" s="250"/>
    </row>
    <row r="5" spans="1:24" ht="18" customHeight="1"/>
    <row r="6" spans="1:24" ht="16.5">
      <c r="Q6" s="251" t="s">
        <v>16</v>
      </c>
      <c r="R6" s="252"/>
      <c r="S6" s="253"/>
      <c r="T6" s="253"/>
      <c r="U6" s="253"/>
      <c r="V6" s="253"/>
      <c r="W6" s="253"/>
      <c r="X6" s="254"/>
    </row>
    <row r="7" spans="1:24" ht="16.5">
      <c r="Q7" s="255" t="s">
        <v>140</v>
      </c>
      <c r="R7" s="256"/>
      <c r="S7" s="257"/>
      <c r="T7" s="258" t="s">
        <v>18</v>
      </c>
      <c r="U7" s="258"/>
      <c r="V7" s="258"/>
      <c r="W7" s="258"/>
      <c r="X7" s="259"/>
    </row>
    <row r="8" spans="1:24" ht="16.5">
      <c r="Q8" s="260" t="s">
        <v>17</v>
      </c>
      <c r="R8" s="261"/>
      <c r="S8" s="262"/>
      <c r="T8" s="263" t="s">
        <v>18</v>
      </c>
      <c r="U8" s="263"/>
      <c r="V8" s="263"/>
      <c r="W8" s="263"/>
      <c r="X8" s="264"/>
    </row>
    <row r="10" spans="1:24" ht="22.5" customHeight="1">
      <c r="B10" s="240" t="s">
        <v>19</v>
      </c>
      <c r="C10" s="240"/>
      <c r="D10" s="240"/>
      <c r="E10" s="240"/>
      <c r="F10" s="240"/>
      <c r="G10" s="240"/>
      <c r="H10" s="240"/>
      <c r="I10" s="240"/>
      <c r="J10" s="240"/>
      <c r="K10" s="240"/>
      <c r="L10" s="240"/>
      <c r="M10" s="240"/>
      <c r="N10" s="240"/>
      <c r="O10" s="240"/>
      <c r="P10" s="240"/>
      <c r="Q10" s="240"/>
      <c r="R10" s="240"/>
      <c r="S10" s="240"/>
      <c r="T10" s="240"/>
      <c r="U10" s="240"/>
      <c r="V10" s="240"/>
      <c r="W10" s="240"/>
      <c r="X10" s="240"/>
    </row>
    <row r="12" spans="1:24" ht="16.5">
      <c r="K12" s="241" t="str">
        <f>'지우지마세요!'!C3&amp;"년       "&amp;'지우지마세요!'!E3&amp;"월        "&amp;'지우지마세요!'!G3&amp;"일"</f>
        <v>2017년       3월        5일</v>
      </c>
      <c r="L12" s="241"/>
      <c r="M12" s="241"/>
      <c r="N12" s="241"/>
      <c r="O12" s="241"/>
      <c r="P12" s="241"/>
      <c r="Q12" s="241"/>
      <c r="R12" s="241"/>
      <c r="S12" s="241"/>
      <c r="T12" s="241"/>
      <c r="U12" s="241"/>
      <c r="V12" s="241"/>
    </row>
    <row r="14" spans="1:24" ht="19.5" customHeight="1">
      <c r="H14" s="242" t="s">
        <v>20</v>
      </c>
      <c r="I14" s="242"/>
      <c r="J14" s="242"/>
      <c r="K14" s="242"/>
      <c r="L14" s="242"/>
      <c r="M14" s="242"/>
      <c r="N14" s="242"/>
      <c r="O14" s="242"/>
      <c r="P14" s="242"/>
      <c r="Q14" s="242"/>
      <c r="R14" s="242"/>
      <c r="S14" s="242"/>
      <c r="T14" s="242"/>
      <c r="U14" s="242"/>
      <c r="V14" s="242"/>
      <c r="W14" s="242"/>
      <c r="X14" s="242"/>
    </row>
    <row r="16" spans="1:24" ht="18" customHeight="1">
      <c r="A16" s="13"/>
      <c r="B16" s="243" t="s">
        <v>60</v>
      </c>
      <c r="C16" s="243"/>
      <c r="D16" s="243"/>
      <c r="E16" s="243"/>
      <c r="F16" s="243"/>
      <c r="G16" s="243"/>
      <c r="H16" s="276" t="s">
        <v>175</v>
      </c>
      <c r="I16" s="277"/>
      <c r="J16" s="278" t="str">
        <f>NUMBERSTRING(F33+R33,1)&amp;" 원정"</f>
        <v>영 원정</v>
      </c>
      <c r="K16" s="279"/>
      <c r="L16" s="279"/>
      <c r="M16" s="279"/>
      <c r="N16" s="279"/>
      <c r="O16" s="279"/>
      <c r="P16" s="279"/>
      <c r="Q16" s="279"/>
      <c r="R16" s="279"/>
      <c r="S16" s="279"/>
      <c r="T16" s="280">
        <f>F33+R33</f>
        <v>0</v>
      </c>
      <c r="U16" s="280"/>
      <c r="V16" s="280"/>
      <c r="W16" s="280"/>
      <c r="X16" s="281"/>
    </row>
    <row r="17" spans="1:24" ht="18" customHeight="1">
      <c r="A17" s="13"/>
      <c r="B17" s="244" t="s">
        <v>120</v>
      </c>
      <c r="C17" s="244"/>
      <c r="D17" s="244"/>
      <c r="E17" s="244"/>
      <c r="F17" s="244"/>
      <c r="G17" s="244"/>
      <c r="H17" s="244"/>
      <c r="I17" s="244"/>
      <c r="J17" s="244"/>
      <c r="K17" s="244"/>
      <c r="L17" s="244" t="s">
        <v>119</v>
      </c>
      <c r="M17" s="244"/>
      <c r="N17" s="244"/>
      <c r="O17" s="244"/>
      <c r="P17" s="244"/>
      <c r="Q17" s="244"/>
      <c r="R17" s="244"/>
      <c r="S17" s="244"/>
      <c r="T17" s="244"/>
      <c r="U17" s="244"/>
      <c r="V17" s="244"/>
      <c r="W17" s="244"/>
      <c r="X17" s="244"/>
    </row>
    <row r="18" spans="1:24" ht="18" customHeight="1">
      <c r="A18" s="13"/>
      <c r="B18" s="265" t="s">
        <v>61</v>
      </c>
      <c r="C18" s="245">
        <v>50000</v>
      </c>
      <c r="D18" s="246"/>
      <c r="E18" s="56" t="s">
        <v>62</v>
      </c>
      <c r="F18" s="233">
        <f>헌금집계표!AI25</f>
        <v>0</v>
      </c>
      <c r="G18" s="234"/>
      <c r="H18" s="54" t="s">
        <v>21</v>
      </c>
      <c r="I18" s="235">
        <f>F18*C18</f>
        <v>0</v>
      </c>
      <c r="J18" s="235"/>
      <c r="K18" s="235"/>
      <c r="L18" s="269" t="s">
        <v>64</v>
      </c>
      <c r="M18" s="245">
        <v>2000000</v>
      </c>
      <c r="N18" s="246"/>
      <c r="O18" s="246"/>
      <c r="P18" s="246"/>
      <c r="Q18" s="246"/>
      <c r="R18" s="56" t="s">
        <v>62</v>
      </c>
      <c r="S18" s="238">
        <f>헌금집계표!AD25</f>
        <v>0</v>
      </c>
      <c r="T18" s="239"/>
      <c r="U18" s="55" t="s">
        <v>22</v>
      </c>
      <c r="V18" s="247">
        <f>S18*M18</f>
        <v>0</v>
      </c>
      <c r="W18" s="248"/>
      <c r="X18" s="249"/>
    </row>
    <row r="19" spans="1:24" ht="18" customHeight="1">
      <c r="A19" s="13"/>
      <c r="B19" s="266"/>
      <c r="C19" s="245">
        <v>10000</v>
      </c>
      <c r="D19" s="246"/>
      <c r="E19" s="56" t="s">
        <v>62</v>
      </c>
      <c r="F19" s="233">
        <f>헌금집계표!AJ25</f>
        <v>0</v>
      </c>
      <c r="G19" s="234"/>
      <c r="H19" s="54" t="s">
        <v>21</v>
      </c>
      <c r="I19" s="235">
        <f t="shared" ref="I19:I24" si="0">F19*C19</f>
        <v>0</v>
      </c>
      <c r="J19" s="235"/>
      <c r="K19" s="235"/>
      <c r="L19" s="270"/>
      <c r="M19" s="245">
        <v>1000000</v>
      </c>
      <c r="N19" s="246"/>
      <c r="O19" s="246"/>
      <c r="P19" s="246"/>
      <c r="Q19" s="246"/>
      <c r="R19" s="56" t="s">
        <v>62</v>
      </c>
      <c r="S19" s="238">
        <f>헌금집계표!AE25</f>
        <v>0</v>
      </c>
      <c r="T19" s="239"/>
      <c r="U19" s="55" t="s">
        <v>22</v>
      </c>
      <c r="V19" s="247">
        <f t="shared" ref="V19:V24" si="1">S19*M19</f>
        <v>0</v>
      </c>
      <c r="W19" s="248"/>
      <c r="X19" s="249"/>
    </row>
    <row r="20" spans="1:24" ht="18" customHeight="1">
      <c r="A20" s="13"/>
      <c r="B20" s="266"/>
      <c r="C20" s="245">
        <v>5000</v>
      </c>
      <c r="D20" s="246"/>
      <c r="E20" s="56" t="s">
        <v>62</v>
      </c>
      <c r="F20" s="233">
        <f>헌금집계표!AK25</f>
        <v>0</v>
      </c>
      <c r="G20" s="234"/>
      <c r="H20" s="54" t="s">
        <v>21</v>
      </c>
      <c r="I20" s="235">
        <f t="shared" si="0"/>
        <v>0</v>
      </c>
      <c r="J20" s="235"/>
      <c r="K20" s="235"/>
      <c r="L20" s="270"/>
      <c r="M20" s="245">
        <v>500000</v>
      </c>
      <c r="N20" s="246"/>
      <c r="O20" s="246"/>
      <c r="P20" s="246"/>
      <c r="Q20" s="246"/>
      <c r="R20" s="56" t="s">
        <v>62</v>
      </c>
      <c r="S20" s="238">
        <f>헌금집계표!AF25</f>
        <v>0</v>
      </c>
      <c r="T20" s="239"/>
      <c r="U20" s="55" t="s">
        <v>22</v>
      </c>
      <c r="V20" s="247">
        <f t="shared" si="1"/>
        <v>0</v>
      </c>
      <c r="W20" s="248"/>
      <c r="X20" s="249"/>
    </row>
    <row r="21" spans="1:24" ht="18" customHeight="1">
      <c r="A21" s="13"/>
      <c r="B21" s="266"/>
      <c r="C21" s="245">
        <v>1000</v>
      </c>
      <c r="D21" s="246"/>
      <c r="E21" s="56" t="s">
        <v>62</v>
      </c>
      <c r="F21" s="233">
        <f>헌금집계표!AL25</f>
        <v>0</v>
      </c>
      <c r="G21" s="234"/>
      <c r="H21" s="54" t="s">
        <v>21</v>
      </c>
      <c r="I21" s="235">
        <f t="shared" si="0"/>
        <v>0</v>
      </c>
      <c r="J21" s="235"/>
      <c r="K21" s="235"/>
      <c r="L21" s="270"/>
      <c r="M21" s="245">
        <v>300000</v>
      </c>
      <c r="N21" s="246"/>
      <c r="O21" s="246"/>
      <c r="P21" s="246"/>
      <c r="Q21" s="246"/>
      <c r="R21" s="56" t="s">
        <v>62</v>
      </c>
      <c r="S21" s="238">
        <f>헌금집계표!AG25</f>
        <v>0</v>
      </c>
      <c r="T21" s="239"/>
      <c r="U21" s="55" t="s">
        <v>22</v>
      </c>
      <c r="V21" s="247">
        <f t="shared" si="1"/>
        <v>0</v>
      </c>
      <c r="W21" s="248"/>
      <c r="X21" s="249"/>
    </row>
    <row r="22" spans="1:24" ht="18" customHeight="1">
      <c r="A22" s="13"/>
      <c r="B22" s="266"/>
      <c r="C22" s="231"/>
      <c r="D22" s="232"/>
      <c r="E22" s="56" t="s">
        <v>62</v>
      </c>
      <c r="F22" s="233"/>
      <c r="G22" s="234"/>
      <c r="H22" s="54" t="s">
        <v>21</v>
      </c>
      <c r="I22" s="235">
        <f t="shared" si="0"/>
        <v>0</v>
      </c>
      <c r="J22" s="235"/>
      <c r="K22" s="235"/>
      <c r="L22" s="270"/>
      <c r="M22" s="245">
        <v>100000</v>
      </c>
      <c r="N22" s="246"/>
      <c r="O22" s="246"/>
      <c r="P22" s="246"/>
      <c r="Q22" s="246"/>
      <c r="R22" s="56" t="s">
        <v>62</v>
      </c>
      <c r="S22" s="238">
        <f>헌금집계표!AH25</f>
        <v>0</v>
      </c>
      <c r="T22" s="239"/>
      <c r="U22" s="55" t="s">
        <v>22</v>
      </c>
      <c r="V22" s="247">
        <f t="shared" si="1"/>
        <v>0</v>
      </c>
      <c r="W22" s="248"/>
      <c r="X22" s="249"/>
    </row>
    <row r="23" spans="1:24" ht="18" customHeight="1">
      <c r="A23" s="13"/>
      <c r="B23" s="266"/>
      <c r="C23" s="231"/>
      <c r="D23" s="232"/>
      <c r="E23" s="56" t="s">
        <v>62</v>
      </c>
      <c r="F23" s="233"/>
      <c r="G23" s="234"/>
      <c r="H23" s="54" t="s">
        <v>21</v>
      </c>
      <c r="I23" s="235">
        <f t="shared" si="0"/>
        <v>0</v>
      </c>
      <c r="J23" s="235"/>
      <c r="K23" s="235"/>
      <c r="L23" s="270"/>
      <c r="M23" s="236"/>
      <c r="N23" s="237"/>
      <c r="O23" s="237"/>
      <c r="P23" s="237"/>
      <c r="Q23" s="237"/>
      <c r="R23" s="56" t="s">
        <v>63</v>
      </c>
      <c r="S23" s="238"/>
      <c r="T23" s="239"/>
      <c r="U23" s="55" t="s">
        <v>22</v>
      </c>
      <c r="V23" s="247">
        <f t="shared" si="1"/>
        <v>0</v>
      </c>
      <c r="W23" s="248"/>
      <c r="X23" s="249"/>
    </row>
    <row r="24" spans="1:24" ht="18" customHeight="1">
      <c r="A24" s="13"/>
      <c r="B24" s="267"/>
      <c r="C24" s="231"/>
      <c r="D24" s="232"/>
      <c r="E24" s="56" t="s">
        <v>62</v>
      </c>
      <c r="F24" s="233"/>
      <c r="G24" s="234"/>
      <c r="H24" s="54" t="s">
        <v>21</v>
      </c>
      <c r="I24" s="235">
        <f t="shared" si="0"/>
        <v>0</v>
      </c>
      <c r="J24" s="235"/>
      <c r="K24" s="235"/>
      <c r="L24" s="271"/>
      <c r="M24" s="236"/>
      <c r="N24" s="237"/>
      <c r="O24" s="237"/>
      <c r="P24" s="237"/>
      <c r="Q24" s="237"/>
      <c r="R24" s="56" t="s">
        <v>63</v>
      </c>
      <c r="S24" s="238"/>
      <c r="T24" s="239"/>
      <c r="U24" s="55" t="s">
        <v>22</v>
      </c>
      <c r="V24" s="247">
        <f t="shared" si="1"/>
        <v>0</v>
      </c>
      <c r="W24" s="248"/>
      <c r="X24" s="249"/>
    </row>
    <row r="25" spans="1:24" ht="6" customHeight="1">
      <c r="B25" s="232"/>
      <c r="C25" s="274"/>
      <c r="D25" s="274"/>
      <c r="E25" s="274"/>
      <c r="F25" s="274"/>
      <c r="G25" s="274"/>
      <c r="H25" s="274"/>
      <c r="I25" s="274"/>
      <c r="J25" s="274"/>
      <c r="K25" s="274"/>
      <c r="L25" s="274"/>
      <c r="M25" s="274"/>
      <c r="N25" s="274"/>
      <c r="O25" s="274"/>
      <c r="P25" s="274"/>
      <c r="Q25" s="274"/>
      <c r="R25" s="274"/>
      <c r="S25" s="274"/>
      <c r="T25" s="274"/>
      <c r="U25" s="274"/>
      <c r="V25" s="274"/>
      <c r="W25" s="274"/>
      <c r="X25" s="289"/>
    </row>
    <row r="26" spans="1:24" ht="18" customHeight="1">
      <c r="B26" s="265" t="s">
        <v>67</v>
      </c>
      <c r="C26" s="245">
        <v>500</v>
      </c>
      <c r="D26" s="246"/>
      <c r="E26" s="57" t="s">
        <v>62</v>
      </c>
      <c r="F26" s="234">
        <f>헌금집계표!AM25</f>
        <v>0</v>
      </c>
      <c r="G26" s="268"/>
      <c r="H26" s="54" t="s">
        <v>65</v>
      </c>
      <c r="I26" s="247">
        <f>F26*C26</f>
        <v>0</v>
      </c>
      <c r="J26" s="248"/>
      <c r="K26" s="249"/>
      <c r="L26" s="269" t="s">
        <v>66</v>
      </c>
      <c r="M26" s="272" t="s">
        <v>114</v>
      </c>
      <c r="N26" s="272"/>
      <c r="O26" s="272"/>
      <c r="P26" s="272"/>
      <c r="Q26" s="272"/>
      <c r="R26" s="236" t="s">
        <v>115</v>
      </c>
      <c r="S26" s="237"/>
      <c r="T26" s="275"/>
      <c r="U26" s="272" t="s">
        <v>116</v>
      </c>
      <c r="V26" s="272"/>
      <c r="W26" s="272"/>
      <c r="X26" s="272"/>
    </row>
    <row r="27" spans="1:24" ht="18" customHeight="1">
      <c r="B27" s="266"/>
      <c r="C27" s="245">
        <v>100</v>
      </c>
      <c r="D27" s="246"/>
      <c r="E27" s="57" t="s">
        <v>62</v>
      </c>
      <c r="F27" s="234">
        <f>헌금집계표!AN25</f>
        <v>0</v>
      </c>
      <c r="G27" s="268"/>
      <c r="H27" s="54" t="s">
        <v>65</v>
      </c>
      <c r="I27" s="247">
        <f t="shared" ref="I27:I32" si="2">F27*C27</f>
        <v>0</v>
      </c>
      <c r="J27" s="248"/>
      <c r="K27" s="249"/>
      <c r="L27" s="270"/>
      <c r="M27" s="273"/>
      <c r="N27" s="273"/>
      <c r="O27" s="273"/>
      <c r="P27" s="273"/>
      <c r="Q27" s="273"/>
      <c r="R27" s="236"/>
      <c r="S27" s="237"/>
      <c r="T27" s="275"/>
      <c r="U27" s="273"/>
      <c r="V27" s="273"/>
      <c r="W27" s="273"/>
      <c r="X27" s="273"/>
    </row>
    <row r="28" spans="1:24" ht="18" customHeight="1">
      <c r="B28" s="266"/>
      <c r="C28" s="245">
        <v>50</v>
      </c>
      <c r="D28" s="246"/>
      <c r="E28" s="57" t="s">
        <v>62</v>
      </c>
      <c r="F28" s="234">
        <f>헌금집계표!AO25</f>
        <v>0</v>
      </c>
      <c r="G28" s="268"/>
      <c r="H28" s="54" t="s">
        <v>65</v>
      </c>
      <c r="I28" s="247">
        <f t="shared" si="2"/>
        <v>0</v>
      </c>
      <c r="J28" s="248"/>
      <c r="K28" s="249"/>
      <c r="L28" s="270"/>
      <c r="M28" s="273"/>
      <c r="N28" s="273"/>
      <c r="O28" s="273"/>
      <c r="P28" s="273"/>
      <c r="Q28" s="273"/>
      <c r="R28" s="236"/>
      <c r="S28" s="237"/>
      <c r="T28" s="275"/>
      <c r="U28" s="273"/>
      <c r="V28" s="273"/>
      <c r="W28" s="273"/>
      <c r="X28" s="273"/>
    </row>
    <row r="29" spans="1:24" ht="18" customHeight="1">
      <c r="B29" s="266"/>
      <c r="C29" s="245">
        <v>10</v>
      </c>
      <c r="D29" s="246"/>
      <c r="E29" s="57" t="s">
        <v>62</v>
      </c>
      <c r="F29" s="234">
        <f>헌금집계표!AP25</f>
        <v>0</v>
      </c>
      <c r="G29" s="268"/>
      <c r="H29" s="54" t="s">
        <v>65</v>
      </c>
      <c r="I29" s="247">
        <f t="shared" si="2"/>
        <v>0</v>
      </c>
      <c r="J29" s="248"/>
      <c r="K29" s="249"/>
      <c r="L29" s="270"/>
      <c r="M29" s="273"/>
      <c r="N29" s="273"/>
      <c r="O29" s="273"/>
      <c r="P29" s="273"/>
      <c r="Q29" s="273"/>
      <c r="R29" s="236"/>
      <c r="S29" s="237"/>
      <c r="T29" s="275"/>
      <c r="U29" s="273"/>
      <c r="V29" s="273"/>
      <c r="W29" s="273"/>
      <c r="X29" s="273"/>
    </row>
    <row r="30" spans="1:24" ht="18" customHeight="1">
      <c r="B30" s="266"/>
      <c r="C30" s="232"/>
      <c r="D30" s="274"/>
      <c r="E30" s="57" t="s">
        <v>62</v>
      </c>
      <c r="F30" s="234"/>
      <c r="G30" s="268"/>
      <c r="H30" s="54" t="s">
        <v>65</v>
      </c>
      <c r="I30" s="247">
        <f t="shared" si="2"/>
        <v>0</v>
      </c>
      <c r="J30" s="248"/>
      <c r="K30" s="249"/>
      <c r="L30" s="270"/>
      <c r="M30" s="273"/>
      <c r="N30" s="273"/>
      <c r="O30" s="273"/>
      <c r="P30" s="273"/>
      <c r="Q30" s="273"/>
      <c r="R30" s="236"/>
      <c r="S30" s="237"/>
      <c r="T30" s="275"/>
      <c r="U30" s="273"/>
      <c r="V30" s="273"/>
      <c r="W30" s="273"/>
      <c r="X30" s="273"/>
    </row>
    <row r="31" spans="1:24" ht="18" customHeight="1">
      <c r="B31" s="266"/>
      <c r="C31" s="232"/>
      <c r="D31" s="274"/>
      <c r="E31" s="57" t="s">
        <v>63</v>
      </c>
      <c r="F31" s="234"/>
      <c r="G31" s="268"/>
      <c r="H31" s="54" t="s">
        <v>65</v>
      </c>
      <c r="I31" s="247">
        <f t="shared" si="2"/>
        <v>0</v>
      </c>
      <c r="J31" s="248"/>
      <c r="K31" s="249"/>
      <c r="L31" s="270"/>
      <c r="M31" s="273"/>
      <c r="N31" s="273"/>
      <c r="O31" s="273"/>
      <c r="P31" s="273"/>
      <c r="Q31" s="273"/>
      <c r="R31" s="236"/>
      <c r="S31" s="237"/>
      <c r="T31" s="275"/>
      <c r="U31" s="273"/>
      <c r="V31" s="273"/>
      <c r="W31" s="273"/>
      <c r="X31" s="273"/>
    </row>
    <row r="32" spans="1:24" ht="18" customHeight="1">
      <c r="B32" s="267"/>
      <c r="C32" s="232"/>
      <c r="D32" s="274"/>
      <c r="E32" s="57" t="s">
        <v>62</v>
      </c>
      <c r="F32" s="234"/>
      <c r="G32" s="268"/>
      <c r="H32" s="54" t="s">
        <v>65</v>
      </c>
      <c r="I32" s="247">
        <f t="shared" si="2"/>
        <v>0</v>
      </c>
      <c r="J32" s="248"/>
      <c r="K32" s="249"/>
      <c r="L32" s="271"/>
      <c r="M32" s="273"/>
      <c r="N32" s="273"/>
      <c r="O32" s="273"/>
      <c r="P32" s="273"/>
      <c r="Q32" s="273"/>
      <c r="R32" s="236"/>
      <c r="S32" s="237"/>
      <c r="T32" s="275"/>
      <c r="U32" s="273"/>
      <c r="V32" s="273"/>
      <c r="W32" s="273"/>
      <c r="X32" s="273"/>
    </row>
    <row r="33" spans="2:24" ht="18" customHeight="1">
      <c r="B33" s="284" t="s">
        <v>118</v>
      </c>
      <c r="C33" s="284"/>
      <c r="D33" s="284"/>
      <c r="E33" s="284"/>
      <c r="F33" s="285">
        <f>SUM(I18:K24,I26:K32)</f>
        <v>0</v>
      </c>
      <c r="G33" s="285"/>
      <c r="H33" s="285"/>
      <c r="I33" s="285"/>
      <c r="J33" s="285"/>
      <c r="K33" s="285"/>
      <c r="L33" s="284" t="s">
        <v>117</v>
      </c>
      <c r="M33" s="284"/>
      <c r="N33" s="284"/>
      <c r="O33" s="284"/>
      <c r="P33" s="284"/>
      <c r="Q33" s="284"/>
      <c r="R33" s="286">
        <f>SUM(V18:X24,U27:X32)</f>
        <v>0</v>
      </c>
      <c r="S33" s="287"/>
      <c r="T33" s="287"/>
      <c r="U33" s="287"/>
      <c r="V33" s="287"/>
      <c r="W33" s="287"/>
      <c r="X33" s="288"/>
    </row>
    <row r="34" spans="2:24" ht="27" customHeight="1">
      <c r="B34" s="197" t="s">
        <v>9</v>
      </c>
      <c r="C34" s="194"/>
      <c r="D34" s="194"/>
      <c r="E34" s="194"/>
      <c r="F34" s="194"/>
      <c r="G34" s="194"/>
      <c r="H34" s="194"/>
      <c r="I34" s="194"/>
      <c r="J34" s="194"/>
      <c r="K34" s="194"/>
      <c r="L34" s="194"/>
      <c r="M34" s="194"/>
      <c r="N34" s="194"/>
      <c r="O34" s="194"/>
      <c r="P34" s="194"/>
      <c r="Q34" s="194"/>
      <c r="R34" s="194"/>
      <c r="S34" s="194"/>
      <c r="T34" s="194"/>
      <c r="U34" s="194"/>
      <c r="V34" s="194"/>
      <c r="W34" s="194"/>
      <c r="X34" s="194"/>
    </row>
    <row r="35" spans="2:24" ht="27" customHeight="1">
      <c r="B35" s="197"/>
      <c r="C35" s="194"/>
      <c r="D35" s="194"/>
      <c r="E35" s="194"/>
      <c r="F35" s="194"/>
      <c r="G35" s="194"/>
      <c r="H35" s="194"/>
      <c r="I35" s="194"/>
      <c r="J35" s="194"/>
      <c r="K35" s="194"/>
      <c r="L35" s="194"/>
      <c r="M35" s="194"/>
      <c r="N35" s="194"/>
      <c r="O35" s="194"/>
      <c r="P35" s="194"/>
      <c r="Q35" s="194"/>
      <c r="R35" s="194"/>
      <c r="S35" s="194"/>
      <c r="T35" s="194"/>
      <c r="U35" s="194"/>
      <c r="V35" s="194"/>
      <c r="W35" s="194"/>
      <c r="X35" s="194"/>
    </row>
    <row r="36" spans="2:24" ht="21.75" customHeight="1"/>
    <row r="37" spans="2:24" ht="21" customHeight="1">
      <c r="B37" s="282" t="str">
        <f>"위 금액 입금을 확인합니다.            "&amp;'지우지마세요!'!C3&amp;"년 "&amp;'지우지마세요!'!E3&amp;"월 "&amp;'지우지마세요!'!G3&amp;"일"</f>
        <v>위 금액 입금을 확인합니다.            2017년 3월 5일</v>
      </c>
      <c r="C37" s="282"/>
      <c r="D37" s="282"/>
      <c r="E37" s="282"/>
      <c r="F37" s="282"/>
      <c r="G37" s="282"/>
      <c r="H37" s="282"/>
      <c r="I37" s="282"/>
      <c r="J37" s="282"/>
      <c r="K37" s="282"/>
      <c r="L37" s="282"/>
      <c r="M37" s="282"/>
      <c r="N37" s="282"/>
      <c r="O37" s="282"/>
      <c r="P37" s="282"/>
      <c r="Q37" s="282"/>
      <c r="R37" s="18"/>
      <c r="S37" s="283" t="s">
        <v>68</v>
      </c>
      <c r="T37" s="283"/>
      <c r="U37" s="283"/>
      <c r="V37" s="283"/>
      <c r="W37" s="283" t="s">
        <v>18</v>
      </c>
      <c r="X37" s="283"/>
    </row>
    <row r="38" spans="2:24" ht="16.5">
      <c r="B38" s="19"/>
      <c r="C38" s="19"/>
      <c r="D38" s="19"/>
      <c r="E38" s="19"/>
      <c r="F38" s="19"/>
      <c r="G38" s="19"/>
      <c r="H38" s="19"/>
      <c r="I38" s="19"/>
      <c r="J38" s="19"/>
      <c r="K38" s="19"/>
      <c r="L38" s="19"/>
      <c r="M38" s="19"/>
      <c r="N38" s="19"/>
      <c r="O38" s="19"/>
      <c r="P38" s="19"/>
      <c r="Q38" s="19"/>
      <c r="R38" s="19"/>
      <c r="S38" s="20"/>
      <c r="T38" s="20"/>
      <c r="U38" s="20"/>
      <c r="V38" s="20"/>
      <c r="W38" s="20"/>
      <c r="X38" s="20"/>
    </row>
  </sheetData>
  <sheetProtection password="CFDC" sheet="1" objects="1" scenarios="1"/>
  <mergeCells count="113">
    <mergeCell ref="C26:D26"/>
    <mergeCell ref="C27:D27"/>
    <mergeCell ref="C28:D28"/>
    <mergeCell ref="C29:D29"/>
    <mergeCell ref="C21:D21"/>
    <mergeCell ref="C18:D18"/>
    <mergeCell ref="M18:Q18"/>
    <mergeCell ref="M19:Q19"/>
    <mergeCell ref="M20:Q20"/>
    <mergeCell ref="M21:Q21"/>
    <mergeCell ref="M22:Q22"/>
    <mergeCell ref="B25:X25"/>
    <mergeCell ref="C22:D22"/>
    <mergeCell ref="F22:G22"/>
    <mergeCell ref="I22:K22"/>
    <mergeCell ref="S22:T22"/>
    <mergeCell ref="C23:D23"/>
    <mergeCell ref="F23:G23"/>
    <mergeCell ref="I23:K23"/>
    <mergeCell ref="M23:Q23"/>
    <mergeCell ref="S23:T23"/>
    <mergeCell ref="B18:B24"/>
    <mergeCell ref="S19:T19"/>
    <mergeCell ref="F18:G18"/>
    <mergeCell ref="B37:Q37"/>
    <mergeCell ref="S37:V37"/>
    <mergeCell ref="W37:X37"/>
    <mergeCell ref="B33:E33"/>
    <mergeCell ref="F33:K33"/>
    <mergeCell ref="L33:Q33"/>
    <mergeCell ref="R33:X33"/>
    <mergeCell ref="B34:B35"/>
    <mergeCell ref="C34:X35"/>
    <mergeCell ref="R32:T32"/>
    <mergeCell ref="V24:X24"/>
    <mergeCell ref="V23:X23"/>
    <mergeCell ref="L18:L24"/>
    <mergeCell ref="F20:G20"/>
    <mergeCell ref="I20:K20"/>
    <mergeCell ref="R26:T26"/>
    <mergeCell ref="U26:X26"/>
    <mergeCell ref="H16:I16"/>
    <mergeCell ref="J16:S16"/>
    <mergeCell ref="T16:X16"/>
    <mergeCell ref="R28:T28"/>
    <mergeCell ref="U28:X28"/>
    <mergeCell ref="F29:G29"/>
    <mergeCell ref="I29:K29"/>
    <mergeCell ref="M29:Q29"/>
    <mergeCell ref="R29:T29"/>
    <mergeCell ref="U29:X29"/>
    <mergeCell ref="I18:K18"/>
    <mergeCell ref="V20:X20"/>
    <mergeCell ref="V19:X19"/>
    <mergeCell ref="F19:G19"/>
    <mergeCell ref="F31:G31"/>
    <mergeCell ref="I31:K31"/>
    <mergeCell ref="M31:Q31"/>
    <mergeCell ref="R31:T31"/>
    <mergeCell ref="U31:X31"/>
    <mergeCell ref="V22:X22"/>
    <mergeCell ref="V21:X21"/>
    <mergeCell ref="F27:G27"/>
    <mergeCell ref="I27:K27"/>
    <mergeCell ref="M27:Q27"/>
    <mergeCell ref="R27:T27"/>
    <mergeCell ref="U27:X27"/>
    <mergeCell ref="R30:T30"/>
    <mergeCell ref="U30:X30"/>
    <mergeCell ref="B4:X4"/>
    <mergeCell ref="Q6:X6"/>
    <mergeCell ref="Q7:S7"/>
    <mergeCell ref="T7:X7"/>
    <mergeCell ref="Q8:S8"/>
    <mergeCell ref="T8:X8"/>
    <mergeCell ref="B26:B32"/>
    <mergeCell ref="F26:G26"/>
    <mergeCell ref="I26:K26"/>
    <mergeCell ref="L26:L32"/>
    <mergeCell ref="M26:Q26"/>
    <mergeCell ref="F28:G28"/>
    <mergeCell ref="I28:K28"/>
    <mergeCell ref="M28:Q28"/>
    <mergeCell ref="C30:D30"/>
    <mergeCell ref="F30:G30"/>
    <mergeCell ref="I30:K30"/>
    <mergeCell ref="M30:Q30"/>
    <mergeCell ref="C32:D32"/>
    <mergeCell ref="F32:G32"/>
    <mergeCell ref="I32:K32"/>
    <mergeCell ref="M32:Q32"/>
    <mergeCell ref="U32:X32"/>
    <mergeCell ref="C31:D31"/>
    <mergeCell ref="C24:D24"/>
    <mergeCell ref="F24:G24"/>
    <mergeCell ref="I24:K24"/>
    <mergeCell ref="M24:Q24"/>
    <mergeCell ref="S24:T24"/>
    <mergeCell ref="B10:X10"/>
    <mergeCell ref="K12:V12"/>
    <mergeCell ref="H14:X14"/>
    <mergeCell ref="B16:G16"/>
    <mergeCell ref="B17:K17"/>
    <mergeCell ref="L17:X17"/>
    <mergeCell ref="S20:T20"/>
    <mergeCell ref="F21:G21"/>
    <mergeCell ref="I21:K21"/>
    <mergeCell ref="S21:T21"/>
    <mergeCell ref="S18:T18"/>
    <mergeCell ref="C19:D19"/>
    <mergeCell ref="I19:K19"/>
    <mergeCell ref="V18:X18"/>
    <mergeCell ref="C20:D20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>
    <pageSetUpPr fitToPage="1"/>
  </sheetPr>
  <dimension ref="B1:AR260"/>
  <sheetViews>
    <sheetView showGridLines="0" zoomScaleNormal="100" zoomScaleSheetLayoutView="100" workbookViewId="0">
      <selection activeCell="AK9" sqref="AK9"/>
    </sheetView>
  </sheetViews>
  <sheetFormatPr defaultColWidth="8.75" defaultRowHeight="12"/>
  <cols>
    <col min="1" max="1" width="0.75" style="2" customWidth="1"/>
    <col min="2" max="25" width="3.25" style="2" customWidth="1"/>
    <col min="26" max="26" width="2.875" style="2" customWidth="1"/>
    <col min="27" max="27" width="2.25" style="2" customWidth="1"/>
    <col min="28" max="28" width="11.375" style="2" customWidth="1"/>
    <col min="29" max="29" width="9.75" style="2" customWidth="1"/>
    <col min="30" max="34" width="3.125" style="2" customWidth="1"/>
    <col min="35" max="35" width="3.75" style="2" customWidth="1"/>
    <col min="36" max="36" width="4.625" style="2" customWidth="1"/>
    <col min="37" max="37" width="3.75" style="2" customWidth="1"/>
    <col min="38" max="38" width="4.625" style="2" customWidth="1"/>
    <col min="39" max="42" width="3.125" style="2" customWidth="1"/>
    <col min="43" max="44" width="9.875" style="2" customWidth="1"/>
    <col min="45" max="16384" width="8.75" style="2"/>
  </cols>
  <sheetData>
    <row r="1" spans="2:44" ht="12.75" customHeight="1"/>
    <row r="3" spans="2:44" ht="23.25" thickBot="1">
      <c r="J3" s="34" t="s">
        <v>125</v>
      </c>
      <c r="K3" s="25"/>
      <c r="L3" s="25"/>
      <c r="M3" s="25"/>
      <c r="N3" s="25"/>
      <c r="O3" s="25"/>
      <c r="P3" s="25"/>
      <c r="Q3" s="25"/>
      <c r="R3" s="25"/>
      <c r="T3" s="16"/>
      <c r="V3" s="356" t="str">
        <f>'지우지마세요!'!C3&amp;"년 "&amp;'지우지마세요!'!E3&amp;"월 "&amp;'지우지마세요!'!G3&amp;"일"</f>
        <v>2017년 3월 5일</v>
      </c>
      <c r="W3" s="357"/>
      <c r="X3" s="357"/>
      <c r="Y3" s="358"/>
    </row>
    <row r="4" spans="2:44" ht="13.5" thickTop="1" thickBot="1">
      <c r="AC4" s="309" t="s">
        <v>183</v>
      </c>
      <c r="AD4" s="309"/>
      <c r="AE4" s="309"/>
      <c r="AF4" s="309"/>
      <c r="AG4" s="309"/>
      <c r="AH4" s="309"/>
      <c r="AI4" s="310" t="s">
        <v>184</v>
      </c>
      <c r="AJ4" s="310"/>
      <c r="AK4" s="310"/>
      <c r="AL4" s="310"/>
      <c r="AM4" s="311" t="s">
        <v>185</v>
      </c>
      <c r="AN4" s="311"/>
      <c r="AO4" s="311"/>
      <c r="AP4" s="311"/>
    </row>
    <row r="5" spans="2:44" ht="17.45" customHeight="1" thickTop="1">
      <c r="B5" s="301" t="s">
        <v>23</v>
      </c>
      <c r="C5" s="300"/>
      <c r="D5" s="300"/>
      <c r="E5" s="300" t="s">
        <v>24</v>
      </c>
      <c r="F5" s="300"/>
      <c r="G5" s="300"/>
      <c r="H5" s="300" t="s">
        <v>72</v>
      </c>
      <c r="I5" s="300"/>
      <c r="J5" s="300"/>
      <c r="K5" s="336"/>
      <c r="L5" s="337" t="s">
        <v>70</v>
      </c>
      <c r="M5" s="338"/>
      <c r="N5" s="299"/>
      <c r="O5" s="299" t="s">
        <v>69</v>
      </c>
      <c r="P5" s="300"/>
      <c r="Q5" s="300"/>
      <c r="R5" s="387" t="s">
        <v>73</v>
      </c>
      <c r="S5" s="388"/>
      <c r="T5" s="388"/>
      <c r="U5" s="388"/>
      <c r="V5" s="339" t="str">
        <f>'지우지마세요!'!C3&amp;"년 "&amp;'지우지마세요!'!E3&amp;"월 "&amp;'지우지마세요!'!G3&amp;"일"&amp; CHAR(10) &amp;"제 "&amp;'지우지마세요!'!I3&amp;" 주"</f>
        <v>2017년 3월 5일
제 18 주</v>
      </c>
      <c r="W5" s="340"/>
      <c r="X5" s="340"/>
      <c r="Y5" s="340"/>
      <c r="Z5" s="341"/>
      <c r="AB5" s="37"/>
      <c r="AC5" s="39" t="s">
        <v>158</v>
      </c>
      <c r="AD5" s="85" t="s">
        <v>159</v>
      </c>
      <c r="AE5" s="85" t="s">
        <v>160</v>
      </c>
      <c r="AF5" s="86" t="s">
        <v>161</v>
      </c>
      <c r="AG5" s="86" t="s">
        <v>162</v>
      </c>
      <c r="AH5" s="87" t="s">
        <v>163</v>
      </c>
      <c r="AI5" s="88" t="s">
        <v>173</v>
      </c>
      <c r="AJ5" s="89" t="s">
        <v>164</v>
      </c>
      <c r="AK5" s="89" t="s">
        <v>174</v>
      </c>
      <c r="AL5" s="90" t="s">
        <v>165</v>
      </c>
      <c r="AM5" s="91" t="s">
        <v>166</v>
      </c>
      <c r="AN5" s="92" t="s">
        <v>167</v>
      </c>
      <c r="AO5" s="92" t="s">
        <v>161</v>
      </c>
      <c r="AP5" s="93" t="s">
        <v>168</v>
      </c>
      <c r="AQ5" s="40" t="s">
        <v>169</v>
      </c>
      <c r="AR5" s="38" t="s">
        <v>170</v>
      </c>
    </row>
    <row r="6" spans="2:44" ht="17.45" customHeight="1">
      <c r="B6" s="304" t="s">
        <v>25</v>
      </c>
      <c r="C6" s="305"/>
      <c r="D6" s="305"/>
      <c r="E6" s="316">
        <f>G53</f>
        <v>0</v>
      </c>
      <c r="F6" s="317"/>
      <c r="G6" s="318"/>
      <c r="H6" s="319">
        <f>S53</f>
        <v>0</v>
      </c>
      <c r="I6" s="320"/>
      <c r="J6" s="320"/>
      <c r="K6" s="321"/>
      <c r="L6" s="351" t="s">
        <v>188</v>
      </c>
      <c r="M6" s="352"/>
      <c r="N6" s="353"/>
      <c r="O6" s="316"/>
      <c r="P6" s="317"/>
      <c r="Q6" s="318"/>
      <c r="R6" s="319">
        <f>B138</f>
        <v>0</v>
      </c>
      <c r="S6" s="320"/>
      <c r="T6" s="320"/>
      <c r="U6" s="321"/>
      <c r="V6" s="342"/>
      <c r="W6" s="343"/>
      <c r="X6" s="343"/>
      <c r="Y6" s="343"/>
      <c r="Z6" s="344"/>
      <c r="AB6" s="41" t="str">
        <f>C14</f>
        <v>십일조헌금</v>
      </c>
      <c r="AC6" s="121"/>
      <c r="AD6" s="122"/>
      <c r="AE6" s="123"/>
      <c r="AF6" s="123"/>
      <c r="AG6" s="123"/>
      <c r="AH6" s="124"/>
      <c r="AI6" s="125"/>
      <c r="AJ6" s="126"/>
      <c r="AK6" s="126"/>
      <c r="AL6" s="127"/>
      <c r="AM6" s="128"/>
      <c r="AN6" s="129"/>
      <c r="AO6" s="129"/>
      <c r="AP6" s="130"/>
      <c r="AQ6" s="68">
        <f t="shared" ref="AQ6:AQ12" si="0">AC6+AD6*2000000+AE6*1000000+AF6*500000+AG6*300000+AH6*100000+AI6*50000+AJ6*10000+AK6*5000+AL6*1000+AM6*500+AN6*100+AO6*50+AP6*10</f>
        <v>0</v>
      </c>
      <c r="AR6" s="72">
        <f t="shared" ref="AR6:AR10" si="1">AQ6-H6</f>
        <v>0</v>
      </c>
    </row>
    <row r="7" spans="2:44" ht="19.899999999999999" customHeight="1">
      <c r="B7" s="304" t="str">
        <f>C57</f>
        <v>감사헌금</v>
      </c>
      <c r="C7" s="305"/>
      <c r="D7" s="305"/>
      <c r="E7" s="324">
        <f>G106</f>
        <v>0</v>
      </c>
      <c r="F7" s="324"/>
      <c r="G7" s="324"/>
      <c r="H7" s="327">
        <f>S106</f>
        <v>0</v>
      </c>
      <c r="I7" s="327"/>
      <c r="J7" s="327"/>
      <c r="K7" s="335"/>
      <c r="L7" s="304" t="s">
        <v>27</v>
      </c>
      <c r="M7" s="305"/>
      <c r="N7" s="305"/>
      <c r="O7" s="323"/>
      <c r="P7" s="324"/>
      <c r="Q7" s="324"/>
      <c r="R7" s="327">
        <f>W138</f>
        <v>0</v>
      </c>
      <c r="S7" s="327"/>
      <c r="T7" s="327"/>
      <c r="U7" s="328"/>
      <c r="V7" s="342"/>
      <c r="W7" s="343"/>
      <c r="X7" s="343"/>
      <c r="Y7" s="343"/>
      <c r="Z7" s="344"/>
      <c r="AB7" s="42" t="str">
        <f>C57</f>
        <v>감사헌금</v>
      </c>
      <c r="AC7" s="131"/>
      <c r="AD7" s="132"/>
      <c r="AE7" s="133"/>
      <c r="AF7" s="133"/>
      <c r="AG7" s="133"/>
      <c r="AH7" s="134"/>
      <c r="AI7" s="135"/>
      <c r="AJ7" s="136"/>
      <c r="AK7" s="136"/>
      <c r="AL7" s="137"/>
      <c r="AM7" s="138"/>
      <c r="AN7" s="139"/>
      <c r="AO7" s="139"/>
      <c r="AP7" s="140"/>
      <c r="AQ7" s="69">
        <f t="shared" si="0"/>
        <v>0</v>
      </c>
      <c r="AR7" s="73">
        <f t="shared" si="1"/>
        <v>0</v>
      </c>
    </row>
    <row r="8" spans="2:44" ht="19.899999999999999" customHeight="1">
      <c r="B8" s="304" t="s">
        <v>29</v>
      </c>
      <c r="C8" s="305"/>
      <c r="D8" s="305"/>
      <c r="E8" s="324">
        <f>C112</f>
        <v>0</v>
      </c>
      <c r="F8" s="324"/>
      <c r="G8" s="324"/>
      <c r="H8" s="327">
        <f>O112</f>
        <v>0</v>
      </c>
      <c r="I8" s="327"/>
      <c r="J8" s="327"/>
      <c r="K8" s="335"/>
      <c r="L8" s="304"/>
      <c r="M8" s="305"/>
      <c r="N8" s="305"/>
      <c r="O8" s="323"/>
      <c r="P8" s="324"/>
      <c r="Q8" s="324"/>
      <c r="R8" s="327"/>
      <c r="S8" s="327"/>
      <c r="T8" s="327"/>
      <c r="U8" s="328"/>
      <c r="V8" s="342"/>
      <c r="W8" s="343"/>
      <c r="X8" s="343"/>
      <c r="Y8" s="343"/>
      <c r="Z8" s="344"/>
      <c r="AB8" s="42" t="s">
        <v>171</v>
      </c>
      <c r="AC8" s="141"/>
      <c r="AD8" s="142"/>
      <c r="AE8" s="143"/>
      <c r="AF8" s="143"/>
      <c r="AG8" s="143"/>
      <c r="AH8" s="144"/>
      <c r="AI8" s="145"/>
      <c r="AJ8" s="146"/>
      <c r="AK8" s="146"/>
      <c r="AL8" s="147"/>
      <c r="AM8" s="148"/>
      <c r="AN8" s="149"/>
      <c r="AO8" s="149"/>
      <c r="AP8" s="150"/>
      <c r="AQ8" s="69">
        <f t="shared" si="0"/>
        <v>0</v>
      </c>
      <c r="AR8" s="73">
        <f t="shared" si="1"/>
        <v>0</v>
      </c>
    </row>
    <row r="9" spans="2:44" ht="19.899999999999999" customHeight="1">
      <c r="B9" s="304" t="s">
        <v>26</v>
      </c>
      <c r="C9" s="305"/>
      <c r="D9" s="305"/>
      <c r="E9" s="324">
        <f>G123</f>
        <v>0</v>
      </c>
      <c r="F9" s="324"/>
      <c r="G9" s="324"/>
      <c r="H9" s="327">
        <f>S123</f>
        <v>0</v>
      </c>
      <c r="I9" s="327"/>
      <c r="J9" s="327"/>
      <c r="K9" s="335"/>
      <c r="L9" s="304" t="s">
        <v>7</v>
      </c>
      <c r="M9" s="305"/>
      <c r="N9" s="305"/>
      <c r="O9" s="323">
        <f>G168+G176+G192+G200+G208+G216+G227+G238</f>
        <v>0</v>
      </c>
      <c r="P9" s="324"/>
      <c r="Q9" s="324"/>
      <c r="R9" s="327">
        <f>S168+S176+S192+S200+S208+S216+S227+S238</f>
        <v>0</v>
      </c>
      <c r="S9" s="327"/>
      <c r="T9" s="327"/>
      <c r="U9" s="328"/>
      <c r="V9" s="342"/>
      <c r="W9" s="343"/>
      <c r="X9" s="343"/>
      <c r="Y9" s="343"/>
      <c r="Z9" s="344"/>
      <c r="AB9" s="43" t="str">
        <f>C114</f>
        <v>선교헌금</v>
      </c>
      <c r="AC9" s="131"/>
      <c r="AD9" s="132"/>
      <c r="AE9" s="133"/>
      <c r="AF9" s="133"/>
      <c r="AG9" s="133"/>
      <c r="AH9" s="134"/>
      <c r="AI9" s="135"/>
      <c r="AJ9" s="136"/>
      <c r="AK9" s="136"/>
      <c r="AL9" s="137"/>
      <c r="AM9" s="138"/>
      <c r="AN9" s="139"/>
      <c r="AO9" s="139"/>
      <c r="AP9" s="140"/>
      <c r="AQ9" s="69">
        <f t="shared" si="0"/>
        <v>0</v>
      </c>
      <c r="AR9" s="73">
        <f t="shared" si="1"/>
        <v>0</v>
      </c>
    </row>
    <row r="10" spans="2:44" ht="19.899999999999999" customHeight="1">
      <c r="B10" s="304" t="s">
        <v>4</v>
      </c>
      <c r="C10" s="305"/>
      <c r="D10" s="305"/>
      <c r="E10" s="324">
        <f>G134</f>
        <v>0</v>
      </c>
      <c r="F10" s="324"/>
      <c r="G10" s="324"/>
      <c r="H10" s="327">
        <f>S134</f>
        <v>0</v>
      </c>
      <c r="I10" s="327"/>
      <c r="J10" s="327"/>
      <c r="K10" s="335"/>
      <c r="L10" s="304" t="s">
        <v>8</v>
      </c>
      <c r="M10" s="305"/>
      <c r="N10" s="305"/>
      <c r="O10" s="323">
        <f>C142</f>
        <v>0</v>
      </c>
      <c r="P10" s="324"/>
      <c r="Q10" s="324"/>
      <c r="R10" s="327">
        <f>O142*1000</f>
        <v>0</v>
      </c>
      <c r="S10" s="327"/>
      <c r="T10" s="327"/>
      <c r="U10" s="328"/>
      <c r="V10" s="342"/>
      <c r="W10" s="343"/>
      <c r="X10" s="343"/>
      <c r="Y10" s="343"/>
      <c r="Z10" s="344"/>
      <c r="AB10" s="42" t="str">
        <f>C125</f>
        <v>복지헌금</v>
      </c>
      <c r="AC10" s="131"/>
      <c r="AD10" s="132"/>
      <c r="AE10" s="133"/>
      <c r="AF10" s="133"/>
      <c r="AG10" s="133"/>
      <c r="AH10" s="134"/>
      <c r="AI10" s="135"/>
      <c r="AJ10" s="136"/>
      <c r="AK10" s="136"/>
      <c r="AL10" s="137"/>
      <c r="AM10" s="138"/>
      <c r="AN10" s="139"/>
      <c r="AO10" s="139"/>
      <c r="AP10" s="140"/>
      <c r="AQ10" s="69">
        <f t="shared" si="0"/>
        <v>0</v>
      </c>
      <c r="AR10" s="73">
        <f t="shared" si="1"/>
        <v>0</v>
      </c>
    </row>
    <row r="11" spans="2:44" ht="19.899999999999999" customHeight="1">
      <c r="B11" s="304"/>
      <c r="C11" s="305"/>
      <c r="D11" s="305"/>
      <c r="E11" s="324"/>
      <c r="F11" s="324"/>
      <c r="G11" s="324"/>
      <c r="H11" s="327"/>
      <c r="I11" s="327"/>
      <c r="J11" s="327"/>
      <c r="K11" s="335"/>
      <c r="L11" s="304"/>
      <c r="M11" s="305"/>
      <c r="N11" s="305"/>
      <c r="O11" s="325"/>
      <c r="P11" s="326"/>
      <c r="Q11" s="326"/>
      <c r="R11" s="305"/>
      <c r="S11" s="305"/>
      <c r="T11" s="305"/>
      <c r="U11" s="312"/>
      <c r="V11" s="342"/>
      <c r="W11" s="343"/>
      <c r="X11" s="343"/>
      <c r="Y11" s="343"/>
      <c r="Z11" s="344"/>
      <c r="AB11" s="43" t="str">
        <f>E136</f>
        <v>주일학교</v>
      </c>
      <c r="AC11" s="131"/>
      <c r="AD11" s="132"/>
      <c r="AE11" s="133"/>
      <c r="AF11" s="133"/>
      <c r="AG11" s="133"/>
      <c r="AH11" s="134"/>
      <c r="AI11" s="135"/>
      <c r="AJ11" s="136"/>
      <c r="AK11" s="136"/>
      <c r="AL11" s="137"/>
      <c r="AM11" s="138"/>
      <c r="AN11" s="139"/>
      <c r="AO11" s="139"/>
      <c r="AP11" s="140"/>
      <c r="AQ11" s="69">
        <f t="shared" si="0"/>
        <v>0</v>
      </c>
      <c r="AR11" s="73">
        <f>AQ11-R7</f>
        <v>0</v>
      </c>
    </row>
    <row r="12" spans="2:44" ht="18" customHeight="1" thickBot="1">
      <c r="B12" s="329" t="s">
        <v>28</v>
      </c>
      <c r="C12" s="330"/>
      <c r="D12" s="330"/>
      <c r="E12" s="348">
        <f>SUM(E6:G11,O6,O7,O8,O9,O10,O11)</f>
        <v>0</v>
      </c>
      <c r="F12" s="349"/>
      <c r="G12" s="349"/>
      <c r="H12" s="349"/>
      <c r="I12" s="349"/>
      <c r="J12" s="349"/>
      <c r="K12" s="350"/>
      <c r="L12" s="389">
        <f>SUM(H6:K11,R10,R9,R8,R7,R6,R11)</f>
        <v>0</v>
      </c>
      <c r="M12" s="390"/>
      <c r="N12" s="390"/>
      <c r="O12" s="390"/>
      <c r="P12" s="390"/>
      <c r="Q12" s="390"/>
      <c r="R12" s="390"/>
      <c r="S12" s="390"/>
      <c r="T12" s="390"/>
      <c r="U12" s="390"/>
      <c r="V12" s="345"/>
      <c r="W12" s="346"/>
      <c r="X12" s="346"/>
      <c r="Y12" s="346"/>
      <c r="Z12" s="347"/>
      <c r="AB12" s="44" t="str">
        <f>B136</f>
        <v>외국인예배</v>
      </c>
      <c r="AC12" s="141"/>
      <c r="AD12" s="142"/>
      <c r="AE12" s="143"/>
      <c r="AF12" s="143"/>
      <c r="AG12" s="143"/>
      <c r="AH12" s="144"/>
      <c r="AI12" s="145"/>
      <c r="AJ12" s="146"/>
      <c r="AK12" s="146"/>
      <c r="AL12" s="147"/>
      <c r="AM12" s="148"/>
      <c r="AN12" s="149"/>
      <c r="AO12" s="149"/>
      <c r="AP12" s="150"/>
      <c r="AQ12" s="69">
        <f t="shared" si="0"/>
        <v>0</v>
      </c>
      <c r="AR12" s="73">
        <f>AQ12-R6</f>
        <v>0</v>
      </c>
    </row>
    <row r="13" spans="2:44">
      <c r="AB13" s="44" t="str">
        <f>C140</f>
        <v>기타수입</v>
      </c>
      <c r="AC13" s="141"/>
      <c r="AD13" s="142"/>
      <c r="AE13" s="143"/>
      <c r="AF13" s="143"/>
      <c r="AG13" s="143"/>
      <c r="AH13" s="144"/>
      <c r="AI13" s="145"/>
      <c r="AJ13" s="146"/>
      <c r="AK13" s="146"/>
      <c r="AL13" s="147"/>
      <c r="AM13" s="148"/>
      <c r="AN13" s="149"/>
      <c r="AO13" s="149"/>
      <c r="AP13" s="150"/>
      <c r="AQ13" s="69">
        <f t="shared" ref="AQ13" si="2">AC13+AD13*2000000+AE13*1000000+AF13*500000+AG13*300000+AH13*100000+AI13*50000+AJ13*10000+AK13*5000+AL13*1000+AM13*500+AN13*100+AO13*50+AP13*10</f>
        <v>0</v>
      </c>
      <c r="AR13" s="73">
        <f>AQ13-R10</f>
        <v>0</v>
      </c>
    </row>
    <row r="14" spans="2:44" ht="14.25" customHeight="1">
      <c r="B14" s="312"/>
      <c r="C14" s="334" t="s">
        <v>182</v>
      </c>
      <c r="D14" s="334"/>
      <c r="E14" s="334"/>
      <c r="F14" s="334"/>
      <c r="G14" s="334"/>
      <c r="H14" s="334"/>
      <c r="I14" s="334"/>
      <c r="J14" s="334"/>
      <c r="K14" s="334"/>
      <c r="L14" s="334"/>
      <c r="M14" s="334"/>
      <c r="N14" s="334"/>
      <c r="O14" s="334"/>
      <c r="P14" s="334"/>
      <c r="Q14" s="334"/>
      <c r="R14" s="334"/>
      <c r="S14" s="334"/>
      <c r="T14" s="334"/>
      <c r="U14" s="334"/>
      <c r="V14" s="334"/>
      <c r="W14" s="331" t="s">
        <v>71</v>
      </c>
      <c r="X14" s="332"/>
      <c r="Y14" s="332"/>
      <c r="Z14" s="333"/>
      <c r="AB14" s="52" t="s">
        <v>189</v>
      </c>
      <c r="AC14" s="306"/>
      <c r="AD14" s="307"/>
      <c r="AE14" s="307"/>
      <c r="AF14" s="307"/>
      <c r="AG14" s="307"/>
      <c r="AH14" s="307"/>
      <c r="AI14" s="307"/>
      <c r="AJ14" s="307"/>
      <c r="AK14" s="307"/>
      <c r="AL14" s="307"/>
      <c r="AM14" s="307"/>
      <c r="AN14" s="307"/>
      <c r="AO14" s="307"/>
      <c r="AP14" s="308"/>
      <c r="AQ14" s="70">
        <f>S158</f>
        <v>0</v>
      </c>
      <c r="AR14" s="53"/>
    </row>
    <row r="15" spans="2:44">
      <c r="B15" s="305"/>
      <c r="C15" s="322" t="s">
        <v>34</v>
      </c>
      <c r="D15" s="322"/>
      <c r="E15" s="322" t="s">
        <v>14</v>
      </c>
      <c r="F15" s="322"/>
      <c r="G15" s="322" t="s">
        <v>34</v>
      </c>
      <c r="H15" s="322"/>
      <c r="I15" s="322" t="s">
        <v>14</v>
      </c>
      <c r="J15" s="322"/>
      <c r="K15" s="322" t="s">
        <v>34</v>
      </c>
      <c r="L15" s="322"/>
      <c r="M15" s="322" t="s">
        <v>14</v>
      </c>
      <c r="N15" s="322"/>
      <c r="O15" s="322" t="s">
        <v>34</v>
      </c>
      <c r="P15" s="322"/>
      <c r="Q15" s="322" t="s">
        <v>14</v>
      </c>
      <c r="R15" s="322"/>
      <c r="S15" s="322" t="s">
        <v>34</v>
      </c>
      <c r="T15" s="322"/>
      <c r="U15" s="322" t="s">
        <v>14</v>
      </c>
      <c r="V15" s="322"/>
      <c r="W15" s="322" t="s">
        <v>34</v>
      </c>
      <c r="X15" s="322"/>
      <c r="Y15" s="322" t="s">
        <v>14</v>
      </c>
      <c r="Z15" s="322"/>
      <c r="AB15" s="44"/>
      <c r="AC15" s="151"/>
      <c r="AD15" s="152"/>
      <c r="AE15" s="153"/>
      <c r="AF15" s="153"/>
      <c r="AG15" s="153"/>
      <c r="AH15" s="154"/>
      <c r="AI15" s="155"/>
      <c r="AJ15" s="156"/>
      <c r="AK15" s="156"/>
      <c r="AL15" s="157"/>
      <c r="AM15" s="158"/>
      <c r="AN15" s="159"/>
      <c r="AO15" s="159"/>
      <c r="AP15" s="160"/>
      <c r="AQ15" s="69"/>
      <c r="AR15" s="73"/>
    </row>
    <row r="16" spans="2:44" ht="13.9" customHeight="1">
      <c r="B16" s="11">
        <v>1</v>
      </c>
      <c r="C16" s="355"/>
      <c r="D16" s="303"/>
      <c r="E16" s="354"/>
      <c r="F16" s="354"/>
      <c r="G16" s="303"/>
      <c r="H16" s="303"/>
      <c r="I16" s="303"/>
      <c r="J16" s="303"/>
      <c r="K16" s="303"/>
      <c r="L16" s="303"/>
      <c r="M16" s="303"/>
      <c r="N16" s="303"/>
      <c r="O16" s="303"/>
      <c r="P16" s="303"/>
      <c r="Q16" s="303"/>
      <c r="R16" s="303"/>
      <c r="S16" s="303"/>
      <c r="T16" s="303"/>
      <c r="U16" s="303"/>
      <c r="V16" s="303"/>
      <c r="W16" s="303"/>
      <c r="X16" s="303"/>
      <c r="Y16" s="303"/>
      <c r="Z16" s="303"/>
      <c r="AB16" s="44"/>
      <c r="AC16" s="151"/>
      <c r="AD16" s="152"/>
      <c r="AE16" s="153"/>
      <c r="AF16" s="153"/>
      <c r="AG16" s="153"/>
      <c r="AH16" s="154"/>
      <c r="AI16" s="155"/>
      <c r="AJ16" s="156"/>
      <c r="AK16" s="156"/>
      <c r="AL16" s="157"/>
      <c r="AM16" s="158"/>
      <c r="AN16" s="159"/>
      <c r="AO16" s="159"/>
      <c r="AP16" s="160"/>
      <c r="AQ16" s="69"/>
      <c r="AR16" s="73"/>
    </row>
    <row r="17" spans="2:44" ht="13.9" customHeight="1">
      <c r="B17" s="11">
        <v>2</v>
      </c>
      <c r="C17" s="303"/>
      <c r="D17" s="303"/>
      <c r="E17" s="354"/>
      <c r="F17" s="354"/>
      <c r="G17" s="303"/>
      <c r="H17" s="303"/>
      <c r="I17" s="303"/>
      <c r="J17" s="303"/>
      <c r="K17" s="303"/>
      <c r="L17" s="303"/>
      <c r="M17" s="303"/>
      <c r="N17" s="303"/>
      <c r="O17" s="303"/>
      <c r="P17" s="303"/>
      <c r="Q17" s="303"/>
      <c r="R17" s="303"/>
      <c r="S17" s="303"/>
      <c r="T17" s="303"/>
      <c r="U17" s="303"/>
      <c r="V17" s="303"/>
      <c r="W17" s="303"/>
      <c r="X17" s="303"/>
      <c r="Y17" s="303"/>
      <c r="Z17" s="303"/>
      <c r="AB17" s="45" t="str">
        <f>C162</f>
        <v>목회팀 지정헌금</v>
      </c>
      <c r="AC17" s="131"/>
      <c r="AD17" s="132"/>
      <c r="AE17" s="133"/>
      <c r="AF17" s="133"/>
      <c r="AG17" s="133"/>
      <c r="AH17" s="134"/>
      <c r="AI17" s="135"/>
      <c r="AJ17" s="136"/>
      <c r="AK17" s="136"/>
      <c r="AL17" s="137"/>
      <c r="AM17" s="138"/>
      <c r="AN17" s="139"/>
      <c r="AO17" s="139"/>
      <c r="AP17" s="140"/>
      <c r="AQ17" s="69">
        <f t="shared" ref="AQ17:AQ25" si="3">AC17+AD17*2000000+AE17*1000000+AF17*500000+AG17*300000+AH17*100000+AI17*50000+AJ17*10000+AK17*5000+AL17*1000+AM17*500+AN17*100+AO17*50+AP17*10</f>
        <v>0</v>
      </c>
      <c r="AR17" s="73">
        <f>AQ17-S168</f>
        <v>0</v>
      </c>
    </row>
    <row r="18" spans="2:44" ht="13.9" customHeight="1">
      <c r="B18" s="11">
        <v>3</v>
      </c>
      <c r="C18" s="303"/>
      <c r="D18" s="303"/>
      <c r="E18" s="354"/>
      <c r="F18" s="354"/>
      <c r="G18" s="303"/>
      <c r="H18" s="303"/>
      <c r="I18" s="303"/>
      <c r="J18" s="303"/>
      <c r="K18" s="303"/>
      <c r="L18" s="303"/>
      <c r="M18" s="303"/>
      <c r="N18" s="303"/>
      <c r="O18" s="303"/>
      <c r="P18" s="303"/>
      <c r="Q18" s="303"/>
      <c r="R18" s="303"/>
      <c r="S18" s="303"/>
      <c r="T18" s="303"/>
      <c r="U18" s="303"/>
      <c r="V18" s="303"/>
      <c r="W18" s="303"/>
      <c r="X18" s="303"/>
      <c r="Y18" s="303"/>
      <c r="Z18" s="303"/>
      <c r="AB18" s="44" t="str">
        <f>C170</f>
        <v>예배팀 지정헌금</v>
      </c>
      <c r="AC18" s="131"/>
      <c r="AD18" s="132"/>
      <c r="AE18" s="133"/>
      <c r="AF18" s="133"/>
      <c r="AG18" s="133"/>
      <c r="AH18" s="134"/>
      <c r="AI18" s="135"/>
      <c r="AJ18" s="136"/>
      <c r="AK18" s="136"/>
      <c r="AL18" s="137"/>
      <c r="AM18" s="138"/>
      <c r="AN18" s="139"/>
      <c r="AO18" s="139"/>
      <c r="AP18" s="140"/>
      <c r="AQ18" s="69">
        <f t="shared" si="3"/>
        <v>0</v>
      </c>
      <c r="AR18" s="73">
        <f>AQ18-S176</f>
        <v>0</v>
      </c>
    </row>
    <row r="19" spans="2:44" ht="13.9" customHeight="1">
      <c r="B19" s="11">
        <v>4</v>
      </c>
      <c r="C19" s="303"/>
      <c r="D19" s="303"/>
      <c r="E19" s="354"/>
      <c r="F19" s="354"/>
      <c r="G19" s="303"/>
      <c r="H19" s="303"/>
      <c r="I19" s="303"/>
      <c r="J19" s="303"/>
      <c r="K19" s="303"/>
      <c r="L19" s="303"/>
      <c r="M19" s="303"/>
      <c r="N19" s="303"/>
      <c r="O19" s="303"/>
      <c r="P19" s="303"/>
      <c r="Q19" s="303"/>
      <c r="R19" s="303"/>
      <c r="S19" s="303"/>
      <c r="T19" s="303"/>
      <c r="U19" s="303"/>
      <c r="V19" s="303"/>
      <c r="W19" s="303"/>
      <c r="X19" s="303"/>
      <c r="Y19" s="303"/>
      <c r="Z19" s="303"/>
      <c r="AB19" s="46" t="str">
        <f>C178</f>
        <v>선교팀 지정헌금</v>
      </c>
      <c r="AC19" s="131"/>
      <c r="AD19" s="132"/>
      <c r="AE19" s="133"/>
      <c r="AF19" s="133"/>
      <c r="AG19" s="133"/>
      <c r="AH19" s="134"/>
      <c r="AI19" s="135"/>
      <c r="AJ19" s="136"/>
      <c r="AK19" s="136"/>
      <c r="AL19" s="137"/>
      <c r="AM19" s="138"/>
      <c r="AN19" s="139"/>
      <c r="AO19" s="139"/>
      <c r="AP19" s="140"/>
      <c r="AQ19" s="69">
        <f t="shared" si="3"/>
        <v>0</v>
      </c>
      <c r="AR19" s="73">
        <f>AQ19-S192</f>
        <v>0</v>
      </c>
    </row>
    <row r="20" spans="2:44" ht="13.9" customHeight="1">
      <c r="B20" s="11">
        <v>5</v>
      </c>
      <c r="C20" s="303"/>
      <c r="D20" s="303"/>
      <c r="E20" s="354"/>
      <c r="F20" s="354"/>
      <c r="G20" s="303"/>
      <c r="H20" s="303"/>
      <c r="I20" s="303"/>
      <c r="J20" s="303"/>
      <c r="K20" s="303"/>
      <c r="L20" s="303"/>
      <c r="M20" s="303"/>
      <c r="N20" s="303"/>
      <c r="O20" s="303"/>
      <c r="P20" s="303"/>
      <c r="Q20" s="303"/>
      <c r="R20" s="303"/>
      <c r="S20" s="303"/>
      <c r="T20" s="303"/>
      <c r="U20" s="303"/>
      <c r="V20" s="303"/>
      <c r="W20" s="303"/>
      <c r="X20" s="303"/>
      <c r="Y20" s="303"/>
      <c r="Z20" s="303"/>
      <c r="AB20" s="47" t="str">
        <f>C194</f>
        <v>교육팀 지정헌금</v>
      </c>
      <c r="AC20" s="131"/>
      <c r="AD20" s="132"/>
      <c r="AE20" s="133"/>
      <c r="AF20" s="133"/>
      <c r="AG20" s="133"/>
      <c r="AH20" s="134"/>
      <c r="AI20" s="135"/>
      <c r="AJ20" s="136"/>
      <c r="AK20" s="136"/>
      <c r="AL20" s="137"/>
      <c r="AM20" s="138"/>
      <c r="AN20" s="139"/>
      <c r="AO20" s="139"/>
      <c r="AP20" s="140"/>
      <c r="AQ20" s="69">
        <f t="shared" si="3"/>
        <v>0</v>
      </c>
      <c r="AR20" s="73">
        <f>AQ20-S200</f>
        <v>0</v>
      </c>
    </row>
    <row r="21" spans="2:44" ht="13.9" customHeight="1">
      <c r="B21" s="11">
        <v>6</v>
      </c>
      <c r="C21" s="303"/>
      <c r="D21" s="303"/>
      <c r="E21" s="354"/>
      <c r="F21" s="354"/>
      <c r="G21" s="303"/>
      <c r="H21" s="303"/>
      <c r="I21" s="303"/>
      <c r="J21" s="303"/>
      <c r="K21" s="303"/>
      <c r="L21" s="303"/>
      <c r="M21" s="303"/>
      <c r="N21" s="303"/>
      <c r="O21" s="303"/>
      <c r="P21" s="303"/>
      <c r="Q21" s="303"/>
      <c r="R21" s="303"/>
      <c r="S21" s="303"/>
      <c r="T21" s="303"/>
      <c r="U21" s="303"/>
      <c r="V21" s="303"/>
      <c r="W21" s="303"/>
      <c r="X21" s="303"/>
      <c r="Y21" s="303"/>
      <c r="Z21" s="303"/>
      <c r="AB21" s="46" t="str">
        <f>C202</f>
        <v>관리팀 지정헌금</v>
      </c>
      <c r="AC21" s="131"/>
      <c r="AD21" s="132"/>
      <c r="AE21" s="133"/>
      <c r="AF21" s="133"/>
      <c r="AG21" s="133"/>
      <c r="AH21" s="134"/>
      <c r="AI21" s="135"/>
      <c r="AJ21" s="136"/>
      <c r="AK21" s="136"/>
      <c r="AL21" s="137"/>
      <c r="AM21" s="138"/>
      <c r="AN21" s="139"/>
      <c r="AO21" s="139"/>
      <c r="AP21" s="140"/>
      <c r="AQ21" s="69">
        <f t="shared" si="3"/>
        <v>0</v>
      </c>
      <c r="AR21" s="73">
        <f>AQ21-S208</f>
        <v>0</v>
      </c>
    </row>
    <row r="22" spans="2:44" ht="13.9" customHeight="1">
      <c r="B22" s="11">
        <v>7</v>
      </c>
      <c r="C22" s="303"/>
      <c r="D22" s="303"/>
      <c r="E22" s="354"/>
      <c r="F22" s="354"/>
      <c r="G22" s="303"/>
      <c r="H22" s="303"/>
      <c r="I22" s="303"/>
      <c r="J22" s="303"/>
      <c r="K22" s="303"/>
      <c r="L22" s="303"/>
      <c r="M22" s="303"/>
      <c r="N22" s="303"/>
      <c r="O22" s="303"/>
      <c r="P22" s="303"/>
      <c r="Q22" s="303"/>
      <c r="R22" s="303"/>
      <c r="S22" s="303"/>
      <c r="T22" s="303"/>
      <c r="U22" s="303"/>
      <c r="V22" s="303"/>
      <c r="W22" s="303"/>
      <c r="X22" s="303"/>
      <c r="Y22" s="303"/>
      <c r="Z22" s="303"/>
      <c r="AB22" s="48" t="str">
        <f>C210</f>
        <v>봉사팀 지정헌금</v>
      </c>
      <c r="AC22" s="131"/>
      <c r="AD22" s="132"/>
      <c r="AE22" s="133"/>
      <c r="AF22" s="133"/>
      <c r="AG22" s="133"/>
      <c r="AH22" s="134"/>
      <c r="AI22" s="135"/>
      <c r="AJ22" s="136"/>
      <c r="AK22" s="136"/>
      <c r="AL22" s="137"/>
      <c r="AM22" s="138"/>
      <c r="AN22" s="139"/>
      <c r="AO22" s="139"/>
      <c r="AP22" s="140"/>
      <c r="AQ22" s="69">
        <f t="shared" si="3"/>
        <v>0</v>
      </c>
      <c r="AR22" s="73">
        <f>AQ22-S216</f>
        <v>0</v>
      </c>
    </row>
    <row r="23" spans="2:44" ht="13.9" customHeight="1">
      <c r="B23" s="11">
        <v>8</v>
      </c>
      <c r="C23" s="303"/>
      <c r="D23" s="303"/>
      <c r="E23" s="354"/>
      <c r="F23" s="354"/>
      <c r="G23" s="303"/>
      <c r="H23" s="303"/>
      <c r="I23" s="303"/>
      <c r="J23" s="303"/>
      <c r="K23" s="303"/>
      <c r="L23" s="303"/>
      <c r="M23" s="303"/>
      <c r="N23" s="303"/>
      <c r="O23" s="303"/>
      <c r="P23" s="303"/>
      <c r="Q23" s="303"/>
      <c r="R23" s="303"/>
      <c r="S23" s="303"/>
      <c r="T23" s="303"/>
      <c r="U23" s="303"/>
      <c r="V23" s="303"/>
      <c r="W23" s="303"/>
      <c r="X23" s="303"/>
      <c r="Y23" s="303"/>
      <c r="Z23" s="303"/>
      <c r="AB23" s="49" t="str">
        <f>C218</f>
        <v>복지팀 지정헌금</v>
      </c>
      <c r="AC23" s="131"/>
      <c r="AD23" s="132"/>
      <c r="AE23" s="133"/>
      <c r="AF23" s="133"/>
      <c r="AG23" s="133"/>
      <c r="AH23" s="134"/>
      <c r="AI23" s="135"/>
      <c r="AJ23" s="136"/>
      <c r="AK23" s="136"/>
      <c r="AL23" s="137"/>
      <c r="AM23" s="138"/>
      <c r="AN23" s="139"/>
      <c r="AO23" s="139"/>
      <c r="AP23" s="140"/>
      <c r="AQ23" s="69">
        <f t="shared" si="3"/>
        <v>0</v>
      </c>
      <c r="AR23" s="73">
        <f>AQ23-S227</f>
        <v>0</v>
      </c>
    </row>
    <row r="24" spans="2:44" ht="13.9" customHeight="1" thickBot="1">
      <c r="B24" s="11">
        <v>9</v>
      </c>
      <c r="C24" s="303"/>
      <c r="D24" s="303"/>
      <c r="E24" s="354"/>
      <c r="F24" s="354"/>
      <c r="G24" s="303"/>
      <c r="H24" s="303"/>
      <c r="I24" s="303"/>
      <c r="J24" s="303"/>
      <c r="K24" s="303"/>
      <c r="L24" s="303"/>
      <c r="M24" s="303"/>
      <c r="N24" s="303"/>
      <c r="O24" s="303"/>
      <c r="P24" s="303"/>
      <c r="Q24" s="303"/>
      <c r="R24" s="303"/>
      <c r="S24" s="303"/>
      <c r="T24" s="303"/>
      <c r="U24" s="303"/>
      <c r="V24" s="303"/>
      <c r="W24" s="303"/>
      <c r="X24" s="303"/>
      <c r="Y24" s="303"/>
      <c r="Z24" s="303"/>
      <c r="AB24" s="50" t="str">
        <f>C229</f>
        <v>굿윌 지정헌금</v>
      </c>
      <c r="AC24" s="131"/>
      <c r="AD24" s="132"/>
      <c r="AE24" s="133"/>
      <c r="AF24" s="133"/>
      <c r="AG24" s="133"/>
      <c r="AH24" s="134"/>
      <c r="AI24" s="135"/>
      <c r="AJ24" s="136"/>
      <c r="AK24" s="136"/>
      <c r="AL24" s="137"/>
      <c r="AM24" s="138"/>
      <c r="AN24" s="139"/>
      <c r="AO24" s="139"/>
      <c r="AP24" s="140"/>
      <c r="AQ24" s="71">
        <f t="shared" si="3"/>
        <v>0</v>
      </c>
      <c r="AR24" s="74">
        <f>AQ24-S238</f>
        <v>0</v>
      </c>
    </row>
    <row r="25" spans="2:44" ht="13.9" customHeight="1" thickTop="1" thickBot="1">
      <c r="B25" s="11">
        <v>10</v>
      </c>
      <c r="C25" s="303"/>
      <c r="D25" s="303"/>
      <c r="E25" s="354"/>
      <c r="F25" s="354"/>
      <c r="G25" s="303"/>
      <c r="H25" s="303"/>
      <c r="I25" s="303"/>
      <c r="J25" s="303"/>
      <c r="K25" s="303"/>
      <c r="L25" s="303"/>
      <c r="M25" s="303"/>
      <c r="N25" s="303"/>
      <c r="O25" s="303"/>
      <c r="P25" s="303"/>
      <c r="Q25" s="303"/>
      <c r="R25" s="303"/>
      <c r="S25" s="303"/>
      <c r="T25" s="303"/>
      <c r="U25" s="303"/>
      <c r="V25" s="303"/>
      <c r="W25" s="303"/>
      <c r="X25" s="303"/>
      <c r="Y25" s="303"/>
      <c r="Z25" s="303"/>
      <c r="AB25" s="51" t="s">
        <v>169</v>
      </c>
      <c r="AC25" s="58">
        <f t="shared" ref="AC25:AP25" si="4">SUM(AC6:AC24)</f>
        <v>0</v>
      </c>
      <c r="AD25" s="59">
        <f t="shared" si="4"/>
        <v>0</v>
      </c>
      <c r="AE25" s="60">
        <f t="shared" si="4"/>
        <v>0</v>
      </c>
      <c r="AF25" s="60">
        <f t="shared" si="4"/>
        <v>0</v>
      </c>
      <c r="AG25" s="60">
        <f t="shared" si="4"/>
        <v>0</v>
      </c>
      <c r="AH25" s="61">
        <f t="shared" si="4"/>
        <v>0</v>
      </c>
      <c r="AI25" s="62">
        <f t="shared" si="4"/>
        <v>0</v>
      </c>
      <c r="AJ25" s="63">
        <f t="shared" si="4"/>
        <v>0</v>
      </c>
      <c r="AK25" s="63">
        <f t="shared" si="4"/>
        <v>0</v>
      </c>
      <c r="AL25" s="64">
        <f t="shared" si="4"/>
        <v>0</v>
      </c>
      <c r="AM25" s="65">
        <f t="shared" si="4"/>
        <v>0</v>
      </c>
      <c r="AN25" s="66">
        <f t="shared" si="4"/>
        <v>0</v>
      </c>
      <c r="AO25" s="66">
        <f t="shared" si="4"/>
        <v>0</v>
      </c>
      <c r="AP25" s="66">
        <f t="shared" si="4"/>
        <v>0</v>
      </c>
      <c r="AQ25" s="67">
        <f t="shared" si="3"/>
        <v>0</v>
      </c>
      <c r="AR25" s="75">
        <f>AQ25-SUM(AQ6:AQ24)</f>
        <v>0</v>
      </c>
    </row>
    <row r="26" spans="2:44" ht="13.9" customHeight="1" thickTop="1">
      <c r="B26" s="11">
        <v>11</v>
      </c>
      <c r="C26" s="303"/>
      <c r="D26" s="303"/>
      <c r="E26" s="354"/>
      <c r="F26" s="354"/>
      <c r="G26" s="303"/>
      <c r="H26" s="303"/>
      <c r="I26" s="303"/>
      <c r="J26" s="303"/>
      <c r="K26" s="303"/>
      <c r="L26" s="303"/>
      <c r="M26" s="303"/>
      <c r="N26" s="303"/>
      <c r="O26" s="303"/>
      <c r="P26" s="303"/>
      <c r="Q26" s="303"/>
      <c r="R26" s="303"/>
      <c r="S26" s="303"/>
      <c r="T26" s="303"/>
      <c r="U26" s="303"/>
      <c r="V26" s="303"/>
      <c r="W26" s="303"/>
      <c r="X26" s="303"/>
      <c r="Y26" s="303"/>
      <c r="Z26" s="303"/>
    </row>
    <row r="27" spans="2:44" ht="13.9" customHeight="1">
      <c r="B27" s="11">
        <v>12</v>
      </c>
      <c r="C27" s="303"/>
      <c r="D27" s="303"/>
      <c r="E27" s="354"/>
      <c r="F27" s="354"/>
      <c r="G27" s="303"/>
      <c r="H27" s="303"/>
      <c r="I27" s="303"/>
      <c r="J27" s="303"/>
      <c r="K27" s="303"/>
      <c r="L27" s="303"/>
      <c r="M27" s="303"/>
      <c r="N27" s="303"/>
      <c r="O27" s="303"/>
      <c r="P27" s="303"/>
      <c r="Q27" s="303"/>
      <c r="R27" s="303"/>
      <c r="S27" s="303"/>
      <c r="T27" s="303"/>
      <c r="U27" s="303"/>
      <c r="V27" s="303"/>
      <c r="W27" s="303"/>
      <c r="X27" s="303"/>
      <c r="Y27" s="303"/>
      <c r="Z27" s="303"/>
    </row>
    <row r="28" spans="2:44" ht="13.9" customHeight="1">
      <c r="B28" s="11">
        <v>13</v>
      </c>
      <c r="C28" s="303"/>
      <c r="D28" s="303"/>
      <c r="E28" s="354"/>
      <c r="F28" s="354"/>
      <c r="G28" s="303"/>
      <c r="H28" s="303"/>
      <c r="I28" s="303"/>
      <c r="J28" s="303"/>
      <c r="K28" s="303"/>
      <c r="L28" s="303"/>
      <c r="M28" s="303"/>
      <c r="N28" s="303"/>
      <c r="O28" s="303"/>
      <c r="P28" s="303"/>
      <c r="Q28" s="303"/>
      <c r="R28" s="303"/>
      <c r="S28" s="303"/>
      <c r="T28" s="303"/>
      <c r="U28" s="303"/>
      <c r="V28" s="303"/>
      <c r="W28" s="303"/>
      <c r="X28" s="303"/>
      <c r="Y28" s="303"/>
      <c r="Z28" s="303"/>
    </row>
    <row r="29" spans="2:44" ht="13.9" customHeight="1">
      <c r="B29" s="11">
        <v>14</v>
      </c>
      <c r="C29" s="303"/>
      <c r="D29" s="303"/>
      <c r="E29" s="354"/>
      <c r="F29" s="354"/>
      <c r="G29" s="303"/>
      <c r="H29" s="303"/>
      <c r="I29" s="303"/>
      <c r="J29" s="303"/>
      <c r="K29" s="303"/>
      <c r="L29" s="303"/>
      <c r="M29" s="303"/>
      <c r="N29" s="303"/>
      <c r="O29" s="303"/>
      <c r="P29" s="303"/>
      <c r="Q29" s="303"/>
      <c r="R29" s="303"/>
      <c r="S29" s="303"/>
      <c r="T29" s="303"/>
      <c r="U29" s="303"/>
      <c r="V29" s="303"/>
      <c r="W29" s="303"/>
      <c r="X29" s="303"/>
      <c r="Y29" s="303"/>
      <c r="Z29" s="303"/>
    </row>
    <row r="30" spans="2:44" ht="13.9" customHeight="1">
      <c r="B30" s="11">
        <v>15</v>
      </c>
      <c r="C30" s="303"/>
      <c r="D30" s="303"/>
      <c r="E30" s="354"/>
      <c r="F30" s="354"/>
      <c r="G30" s="303"/>
      <c r="H30" s="303"/>
      <c r="I30" s="303"/>
      <c r="J30" s="303"/>
      <c r="K30" s="303"/>
      <c r="L30" s="303"/>
      <c r="M30" s="303"/>
      <c r="N30" s="303"/>
      <c r="O30" s="303"/>
      <c r="P30" s="303"/>
      <c r="Q30" s="303"/>
      <c r="R30" s="303"/>
      <c r="S30" s="303"/>
      <c r="T30" s="303"/>
      <c r="U30" s="303"/>
      <c r="V30" s="303"/>
      <c r="W30" s="303"/>
      <c r="X30" s="303"/>
      <c r="Y30" s="303"/>
      <c r="Z30" s="303"/>
    </row>
    <row r="31" spans="2:44" ht="13.9" customHeight="1">
      <c r="B31" s="11">
        <v>16</v>
      </c>
      <c r="C31" s="303"/>
      <c r="D31" s="303"/>
      <c r="E31" s="354"/>
      <c r="F31" s="354"/>
      <c r="G31" s="303"/>
      <c r="H31" s="303"/>
      <c r="I31" s="303"/>
      <c r="J31" s="303"/>
      <c r="K31" s="303"/>
      <c r="L31" s="303"/>
      <c r="M31" s="303"/>
      <c r="N31" s="303"/>
      <c r="O31" s="303"/>
      <c r="P31" s="303"/>
      <c r="Q31" s="303"/>
      <c r="R31" s="303"/>
      <c r="S31" s="303"/>
      <c r="T31" s="303"/>
      <c r="U31" s="303"/>
      <c r="V31" s="303"/>
      <c r="W31" s="315"/>
      <c r="X31" s="314"/>
      <c r="Y31" s="315"/>
      <c r="Z31" s="314"/>
    </row>
    <row r="32" spans="2:44" ht="13.9" customHeight="1">
      <c r="B32" s="11">
        <v>17</v>
      </c>
      <c r="C32" s="303"/>
      <c r="D32" s="303"/>
      <c r="E32" s="354"/>
      <c r="F32" s="354"/>
      <c r="G32" s="303"/>
      <c r="H32" s="303"/>
      <c r="I32" s="303"/>
      <c r="J32" s="303"/>
      <c r="K32" s="303"/>
      <c r="L32" s="303"/>
      <c r="M32" s="303"/>
      <c r="N32" s="303"/>
      <c r="O32" s="303"/>
      <c r="P32" s="303"/>
      <c r="Q32" s="303"/>
      <c r="R32" s="303"/>
      <c r="S32" s="303"/>
      <c r="T32" s="303"/>
      <c r="U32" s="303"/>
      <c r="V32" s="303"/>
      <c r="W32" s="303"/>
      <c r="X32" s="303"/>
      <c r="Y32" s="303"/>
      <c r="Z32" s="303"/>
    </row>
    <row r="33" spans="2:26" ht="13.9" customHeight="1">
      <c r="B33" s="11">
        <v>18</v>
      </c>
      <c r="C33" s="303"/>
      <c r="D33" s="303"/>
      <c r="E33" s="354"/>
      <c r="F33" s="354"/>
      <c r="G33" s="303"/>
      <c r="H33" s="303"/>
      <c r="I33" s="303"/>
      <c r="J33" s="303"/>
      <c r="K33" s="303"/>
      <c r="L33" s="303"/>
      <c r="M33" s="303"/>
      <c r="N33" s="303"/>
      <c r="O33" s="303"/>
      <c r="P33" s="303"/>
      <c r="Q33" s="303"/>
      <c r="R33" s="303"/>
      <c r="S33" s="303"/>
      <c r="T33" s="303"/>
      <c r="U33" s="303"/>
      <c r="V33" s="303"/>
      <c r="W33" s="303"/>
      <c r="X33" s="303"/>
      <c r="Y33" s="303"/>
      <c r="Z33" s="303"/>
    </row>
    <row r="34" spans="2:26" ht="13.9" customHeight="1">
      <c r="B34" s="11">
        <v>19</v>
      </c>
      <c r="C34" s="303"/>
      <c r="D34" s="303"/>
      <c r="E34" s="354"/>
      <c r="F34" s="354"/>
      <c r="G34" s="303"/>
      <c r="H34" s="303"/>
      <c r="I34" s="303"/>
      <c r="J34" s="303"/>
      <c r="K34" s="303"/>
      <c r="L34" s="303"/>
      <c r="M34" s="303"/>
      <c r="N34" s="303"/>
      <c r="O34" s="303"/>
      <c r="P34" s="303"/>
      <c r="Q34" s="303"/>
      <c r="R34" s="303"/>
      <c r="S34" s="303"/>
      <c r="T34" s="303"/>
      <c r="U34" s="303"/>
      <c r="V34" s="303"/>
      <c r="W34" s="303"/>
      <c r="X34" s="303"/>
      <c r="Y34" s="303"/>
      <c r="Z34" s="303"/>
    </row>
    <row r="35" spans="2:26" ht="13.9" customHeight="1">
      <c r="B35" s="11">
        <v>20</v>
      </c>
      <c r="C35" s="303"/>
      <c r="D35" s="303"/>
      <c r="E35" s="354"/>
      <c r="F35" s="354"/>
      <c r="G35" s="303"/>
      <c r="H35" s="303"/>
      <c r="I35" s="303"/>
      <c r="J35" s="303"/>
      <c r="K35" s="303"/>
      <c r="L35" s="303"/>
      <c r="M35" s="303"/>
      <c r="N35" s="303"/>
      <c r="O35" s="303"/>
      <c r="P35" s="303"/>
      <c r="Q35" s="303"/>
      <c r="R35" s="303"/>
      <c r="S35" s="303"/>
      <c r="T35" s="303"/>
      <c r="U35" s="303"/>
      <c r="V35" s="303"/>
      <c r="W35" s="303"/>
      <c r="X35" s="303"/>
      <c r="Y35" s="303"/>
      <c r="Z35" s="303"/>
    </row>
    <row r="36" spans="2:26" ht="13.9" customHeight="1">
      <c r="B36" s="11">
        <v>21</v>
      </c>
      <c r="C36" s="303"/>
      <c r="D36" s="303"/>
      <c r="E36" s="354"/>
      <c r="F36" s="354"/>
      <c r="G36" s="303"/>
      <c r="H36" s="303"/>
      <c r="I36" s="303"/>
      <c r="J36" s="303"/>
      <c r="K36" s="303"/>
      <c r="L36" s="303"/>
      <c r="M36" s="303"/>
      <c r="N36" s="303"/>
      <c r="O36" s="303"/>
      <c r="P36" s="303"/>
      <c r="Q36" s="303"/>
      <c r="R36" s="303"/>
      <c r="S36" s="303"/>
      <c r="T36" s="303"/>
      <c r="U36" s="303"/>
      <c r="V36" s="303"/>
      <c r="W36" s="303"/>
      <c r="X36" s="303"/>
      <c r="Y36" s="303"/>
      <c r="Z36" s="303"/>
    </row>
    <row r="37" spans="2:26" ht="13.9" customHeight="1">
      <c r="B37" s="11">
        <v>22</v>
      </c>
      <c r="C37" s="303"/>
      <c r="D37" s="303"/>
      <c r="E37" s="354"/>
      <c r="F37" s="354"/>
      <c r="G37" s="303"/>
      <c r="H37" s="303"/>
      <c r="I37" s="303"/>
      <c r="J37" s="303"/>
      <c r="K37" s="303"/>
      <c r="L37" s="303"/>
      <c r="M37" s="303"/>
      <c r="N37" s="303"/>
      <c r="O37" s="303"/>
      <c r="P37" s="303"/>
      <c r="Q37" s="303"/>
      <c r="R37" s="303"/>
      <c r="S37" s="303"/>
      <c r="T37" s="303"/>
      <c r="U37" s="303"/>
      <c r="V37" s="303"/>
      <c r="W37" s="303"/>
      <c r="X37" s="303"/>
      <c r="Y37" s="303"/>
      <c r="Z37" s="303"/>
    </row>
    <row r="38" spans="2:26" ht="13.9" customHeight="1">
      <c r="B38" s="11">
        <v>23</v>
      </c>
      <c r="C38" s="303"/>
      <c r="D38" s="303"/>
      <c r="E38" s="354"/>
      <c r="F38" s="354"/>
      <c r="G38" s="303"/>
      <c r="H38" s="303"/>
      <c r="I38" s="303"/>
      <c r="J38" s="303"/>
      <c r="K38" s="303"/>
      <c r="L38" s="303"/>
      <c r="M38" s="303"/>
      <c r="N38" s="303"/>
      <c r="O38" s="303"/>
      <c r="P38" s="303"/>
      <c r="Q38" s="303"/>
      <c r="R38" s="303"/>
      <c r="S38" s="303"/>
      <c r="T38" s="303"/>
      <c r="U38" s="303"/>
      <c r="V38" s="303"/>
      <c r="W38" s="303"/>
      <c r="X38" s="303"/>
      <c r="Y38" s="303"/>
      <c r="Z38" s="303"/>
    </row>
    <row r="39" spans="2:26" ht="13.9" customHeight="1">
      <c r="B39" s="11">
        <v>24</v>
      </c>
      <c r="C39" s="303"/>
      <c r="D39" s="303"/>
      <c r="E39" s="354"/>
      <c r="F39" s="354"/>
      <c r="G39" s="303"/>
      <c r="H39" s="303"/>
      <c r="I39" s="303"/>
      <c r="J39" s="303"/>
      <c r="K39" s="303"/>
      <c r="L39" s="303"/>
      <c r="M39" s="303"/>
      <c r="N39" s="303"/>
      <c r="O39" s="303"/>
      <c r="P39" s="303"/>
      <c r="Q39" s="303"/>
      <c r="R39" s="303"/>
      <c r="S39" s="303"/>
      <c r="T39" s="303"/>
      <c r="U39" s="303"/>
      <c r="V39" s="303"/>
      <c r="W39" s="303"/>
      <c r="X39" s="303"/>
      <c r="Y39" s="303"/>
      <c r="Z39" s="303"/>
    </row>
    <row r="40" spans="2:26" ht="13.9" customHeight="1">
      <c r="B40" s="11">
        <v>25</v>
      </c>
      <c r="C40" s="303"/>
      <c r="D40" s="303"/>
      <c r="E40" s="354"/>
      <c r="F40" s="354"/>
      <c r="G40" s="303"/>
      <c r="H40" s="303"/>
      <c r="I40" s="303"/>
      <c r="J40" s="303"/>
      <c r="K40" s="303"/>
      <c r="L40" s="303"/>
      <c r="M40" s="303"/>
      <c r="N40" s="303"/>
      <c r="O40" s="303"/>
      <c r="P40" s="303"/>
      <c r="Q40" s="303"/>
      <c r="R40" s="303"/>
      <c r="S40" s="303"/>
      <c r="T40" s="303"/>
      <c r="U40" s="303"/>
      <c r="V40" s="303"/>
      <c r="W40" s="303"/>
      <c r="X40" s="303"/>
      <c r="Y40" s="303"/>
      <c r="Z40" s="303"/>
    </row>
    <row r="41" spans="2:26" ht="13.9" customHeight="1">
      <c r="B41" s="11">
        <v>26</v>
      </c>
      <c r="C41" s="303"/>
      <c r="D41" s="303"/>
      <c r="E41" s="354"/>
      <c r="F41" s="354"/>
      <c r="G41" s="303"/>
      <c r="H41" s="303"/>
      <c r="I41" s="303"/>
      <c r="J41" s="303"/>
      <c r="K41" s="303"/>
      <c r="L41" s="303"/>
      <c r="M41" s="303"/>
      <c r="N41" s="303"/>
      <c r="O41" s="303"/>
      <c r="P41" s="303"/>
      <c r="Q41" s="303"/>
      <c r="R41" s="303"/>
      <c r="S41" s="303"/>
      <c r="T41" s="303"/>
      <c r="U41" s="303"/>
      <c r="V41" s="303"/>
      <c r="W41" s="303"/>
      <c r="X41" s="303"/>
      <c r="Y41" s="303"/>
      <c r="Z41" s="303"/>
    </row>
    <row r="42" spans="2:26" ht="13.9" customHeight="1">
      <c r="B42" s="11">
        <v>27</v>
      </c>
      <c r="C42" s="303"/>
      <c r="D42" s="303"/>
      <c r="E42" s="354"/>
      <c r="F42" s="354"/>
      <c r="G42" s="303"/>
      <c r="H42" s="303"/>
      <c r="I42" s="303"/>
      <c r="J42" s="303"/>
      <c r="K42" s="303"/>
      <c r="L42" s="303"/>
      <c r="M42" s="303"/>
      <c r="N42" s="303"/>
      <c r="O42" s="303"/>
      <c r="P42" s="303"/>
      <c r="Q42" s="303"/>
      <c r="R42" s="303"/>
      <c r="S42" s="303"/>
      <c r="T42" s="303"/>
      <c r="U42" s="303"/>
      <c r="V42" s="303"/>
      <c r="W42" s="303"/>
      <c r="X42" s="303"/>
      <c r="Y42" s="303"/>
      <c r="Z42" s="303"/>
    </row>
    <row r="43" spans="2:26" ht="13.9" customHeight="1">
      <c r="B43" s="11">
        <v>28</v>
      </c>
      <c r="C43" s="303"/>
      <c r="D43" s="303"/>
      <c r="E43" s="354"/>
      <c r="F43" s="354"/>
      <c r="G43" s="303"/>
      <c r="H43" s="303"/>
      <c r="I43" s="303"/>
      <c r="J43" s="303"/>
      <c r="K43" s="303"/>
      <c r="L43" s="303"/>
      <c r="M43" s="303"/>
      <c r="N43" s="303"/>
      <c r="O43" s="303"/>
      <c r="P43" s="303"/>
      <c r="Q43" s="303"/>
      <c r="R43" s="303"/>
      <c r="S43" s="303"/>
      <c r="T43" s="303"/>
      <c r="U43" s="303"/>
      <c r="V43" s="303"/>
      <c r="W43" s="303"/>
      <c r="X43" s="303"/>
      <c r="Y43" s="303"/>
      <c r="Z43" s="303"/>
    </row>
    <row r="44" spans="2:26" ht="13.9" customHeight="1">
      <c r="B44" s="11">
        <v>29</v>
      </c>
      <c r="C44" s="303"/>
      <c r="D44" s="303"/>
      <c r="E44" s="354"/>
      <c r="F44" s="354"/>
      <c r="G44" s="303"/>
      <c r="H44" s="303"/>
      <c r="I44" s="303"/>
      <c r="J44" s="303"/>
      <c r="K44" s="303"/>
      <c r="L44" s="303"/>
      <c r="M44" s="303"/>
      <c r="N44" s="303"/>
      <c r="O44" s="303"/>
      <c r="P44" s="303"/>
      <c r="Q44" s="303"/>
      <c r="R44" s="303"/>
      <c r="S44" s="303"/>
      <c r="T44" s="303"/>
      <c r="U44" s="303"/>
      <c r="V44" s="303"/>
      <c r="W44" s="303"/>
      <c r="X44" s="303"/>
      <c r="Y44" s="303"/>
      <c r="Z44" s="303"/>
    </row>
    <row r="45" spans="2:26" ht="13.9" customHeight="1">
      <c r="B45" s="11">
        <v>30</v>
      </c>
      <c r="C45" s="303"/>
      <c r="D45" s="303"/>
      <c r="E45" s="354"/>
      <c r="F45" s="354"/>
      <c r="G45" s="303"/>
      <c r="H45" s="303"/>
      <c r="I45" s="303"/>
      <c r="J45" s="303"/>
      <c r="K45" s="303"/>
      <c r="L45" s="303"/>
      <c r="M45" s="303"/>
      <c r="N45" s="303"/>
      <c r="O45" s="303"/>
      <c r="P45" s="303"/>
      <c r="Q45" s="303"/>
      <c r="R45" s="303"/>
      <c r="S45" s="303"/>
      <c r="T45" s="303"/>
      <c r="U45" s="303"/>
      <c r="V45" s="303"/>
      <c r="W45" s="303"/>
      <c r="X45" s="303"/>
      <c r="Y45" s="303"/>
      <c r="Z45" s="303"/>
    </row>
    <row r="46" spans="2:26" ht="13.9" customHeight="1">
      <c r="B46" s="11">
        <v>31</v>
      </c>
      <c r="C46" s="303"/>
      <c r="D46" s="303"/>
      <c r="E46" s="354"/>
      <c r="F46" s="354"/>
      <c r="G46" s="303"/>
      <c r="H46" s="303"/>
      <c r="I46" s="303"/>
      <c r="J46" s="303"/>
      <c r="K46" s="303"/>
      <c r="L46" s="303"/>
      <c r="M46" s="303"/>
      <c r="N46" s="303"/>
      <c r="O46" s="303"/>
      <c r="P46" s="303"/>
      <c r="Q46" s="303"/>
      <c r="R46" s="303"/>
      <c r="S46" s="303"/>
      <c r="T46" s="303"/>
      <c r="U46" s="303"/>
      <c r="V46" s="303"/>
      <c r="W46" s="303"/>
      <c r="X46" s="303"/>
      <c r="Y46" s="303"/>
      <c r="Z46" s="303"/>
    </row>
    <row r="47" spans="2:26" ht="13.9" customHeight="1">
      <c r="B47" s="11">
        <v>32</v>
      </c>
      <c r="C47" s="303"/>
      <c r="D47" s="303"/>
      <c r="E47" s="354"/>
      <c r="F47" s="354"/>
      <c r="G47" s="303"/>
      <c r="H47" s="303"/>
      <c r="I47" s="303"/>
      <c r="J47" s="303"/>
      <c r="K47" s="303"/>
      <c r="L47" s="303"/>
      <c r="M47" s="303"/>
      <c r="N47" s="303"/>
      <c r="O47" s="303"/>
      <c r="P47" s="303"/>
      <c r="Q47" s="303"/>
      <c r="R47" s="303"/>
      <c r="S47" s="303"/>
      <c r="T47" s="303"/>
      <c r="U47" s="303"/>
      <c r="V47" s="303"/>
      <c r="W47" s="303"/>
      <c r="X47" s="303"/>
      <c r="Y47" s="303"/>
      <c r="Z47" s="303"/>
    </row>
    <row r="48" spans="2:26" ht="13.9" customHeight="1">
      <c r="B48" s="11">
        <v>33</v>
      </c>
      <c r="C48" s="303"/>
      <c r="D48" s="303"/>
      <c r="E48" s="354"/>
      <c r="F48" s="354"/>
      <c r="G48" s="303"/>
      <c r="H48" s="303"/>
      <c r="I48" s="303"/>
      <c r="J48" s="303"/>
      <c r="K48" s="303"/>
      <c r="L48" s="303"/>
      <c r="M48" s="303"/>
      <c r="N48" s="303"/>
      <c r="O48" s="303"/>
      <c r="P48" s="303"/>
      <c r="Q48" s="303"/>
      <c r="R48" s="303"/>
      <c r="S48" s="303"/>
      <c r="T48" s="303"/>
      <c r="U48" s="303"/>
      <c r="V48" s="303"/>
      <c r="W48" s="303"/>
      <c r="X48" s="303"/>
      <c r="Y48" s="303"/>
      <c r="Z48" s="303"/>
    </row>
    <row r="49" spans="2:26" ht="13.9" customHeight="1">
      <c r="B49" s="11">
        <v>34</v>
      </c>
      <c r="C49" s="303"/>
      <c r="D49" s="303"/>
      <c r="E49" s="354"/>
      <c r="F49" s="354"/>
      <c r="G49" s="303"/>
      <c r="H49" s="303"/>
      <c r="I49" s="303"/>
      <c r="J49" s="303"/>
      <c r="K49" s="303"/>
      <c r="L49" s="303"/>
      <c r="M49" s="303"/>
      <c r="N49" s="303"/>
      <c r="O49" s="303"/>
      <c r="P49" s="303"/>
      <c r="Q49" s="303"/>
      <c r="R49" s="303"/>
      <c r="S49" s="303"/>
      <c r="T49" s="303"/>
      <c r="U49" s="303"/>
      <c r="V49" s="303"/>
      <c r="W49" s="303"/>
      <c r="X49" s="303"/>
      <c r="Y49" s="303"/>
      <c r="Z49" s="303"/>
    </row>
    <row r="50" spans="2:26" ht="13.9" customHeight="1">
      <c r="B50" s="11">
        <v>35</v>
      </c>
      <c r="C50" s="303"/>
      <c r="D50" s="303"/>
      <c r="E50" s="354"/>
      <c r="F50" s="354"/>
      <c r="G50" s="303"/>
      <c r="H50" s="303"/>
      <c r="I50" s="303"/>
      <c r="J50" s="303"/>
      <c r="K50" s="303"/>
      <c r="L50" s="303"/>
      <c r="M50" s="303"/>
      <c r="N50" s="303"/>
      <c r="O50" s="303"/>
      <c r="P50" s="303"/>
      <c r="Q50" s="303"/>
      <c r="R50" s="303"/>
      <c r="S50" s="303"/>
      <c r="T50" s="303"/>
      <c r="U50" s="303"/>
      <c r="V50" s="303"/>
      <c r="W50" s="303"/>
      <c r="X50" s="303"/>
      <c r="Y50" s="303"/>
      <c r="Z50" s="303"/>
    </row>
    <row r="51" spans="2:26" hidden="1">
      <c r="F51" s="4">
        <f>COUNTIF(E16:F50,"&gt;0")</f>
        <v>0</v>
      </c>
      <c r="J51" s="4">
        <f>COUNTIF(I16:J50,"&gt;0")</f>
        <v>0</v>
      </c>
      <c r="N51" s="4">
        <f>COUNTIF(M16:N50,"&gt;0")</f>
        <v>0</v>
      </c>
      <c r="R51" s="4">
        <f>COUNTIF(Q16:R50,"&gt;0")</f>
        <v>0</v>
      </c>
      <c r="V51" s="4">
        <f>COUNTIF(U16:V50,"&gt;0")</f>
        <v>0</v>
      </c>
      <c r="Z51" s="4">
        <f>COUNTIF(Y16:Z50,"&gt;0")</f>
        <v>0</v>
      </c>
    </row>
    <row r="52" spans="2:26" ht="16.5" hidden="1" customHeight="1">
      <c r="C52" s="374">
        <f>SUM(E16:F50)*1000</f>
        <v>0</v>
      </c>
      <c r="D52" s="374"/>
      <c r="E52" s="374"/>
      <c r="F52" s="374"/>
      <c r="G52" s="374">
        <f>SUM(I16:J50)*1000</f>
        <v>0</v>
      </c>
      <c r="H52" s="374"/>
      <c r="I52" s="374"/>
      <c r="J52" s="374"/>
      <c r="K52" s="374">
        <f>SUM(M16:N50)*1000</f>
        <v>0</v>
      </c>
      <c r="L52" s="374"/>
      <c r="M52" s="374"/>
      <c r="N52" s="374"/>
      <c r="O52" s="374">
        <f>SUM(Q16:R50)*1000</f>
        <v>0</v>
      </c>
      <c r="P52" s="374"/>
      <c r="Q52" s="374"/>
      <c r="R52" s="374"/>
      <c r="S52" s="374">
        <f>SUM(U16:V50)*1000</f>
        <v>0</v>
      </c>
      <c r="T52" s="374"/>
      <c r="U52" s="374"/>
      <c r="V52" s="374"/>
      <c r="W52" s="374">
        <f>SUM(Y16:Z50)*1000</f>
        <v>0</v>
      </c>
      <c r="X52" s="374"/>
      <c r="Y52" s="374"/>
      <c r="Z52" s="374"/>
    </row>
    <row r="53" spans="2:26" hidden="1">
      <c r="C53" s="194" t="s">
        <v>156</v>
      </c>
      <c r="D53" s="194"/>
      <c r="E53" s="194"/>
      <c r="F53" s="194"/>
      <c r="G53" s="194">
        <f>F51+J51+N51+R51+V51+Z51</f>
        <v>0</v>
      </c>
      <c r="H53" s="194"/>
      <c r="I53" s="194"/>
      <c r="J53" s="194"/>
      <c r="K53" s="194"/>
      <c r="L53" s="194"/>
      <c r="M53" s="194"/>
      <c r="N53" s="194"/>
      <c r="O53" s="194" t="s">
        <v>157</v>
      </c>
      <c r="P53" s="194"/>
      <c r="Q53" s="194"/>
      <c r="R53" s="194"/>
      <c r="S53" s="371">
        <f>C52+G52+K52+O52+S52+W52</f>
        <v>0</v>
      </c>
      <c r="T53" s="194"/>
      <c r="U53" s="194"/>
      <c r="V53" s="194"/>
      <c r="W53" s="194"/>
      <c r="X53" s="194"/>
      <c r="Y53" s="194"/>
      <c r="Z53" s="194"/>
    </row>
    <row r="55" spans="2:26" ht="22.5">
      <c r="B55" s="15"/>
      <c r="C55" s="15"/>
      <c r="D55" s="15"/>
      <c r="E55" s="15"/>
      <c r="J55" s="34" t="s">
        <v>127</v>
      </c>
      <c r="L55" s="31"/>
      <c r="M55" s="31"/>
      <c r="N55" s="31"/>
      <c r="O55" s="31"/>
      <c r="P55" s="31"/>
      <c r="Q55" s="31"/>
      <c r="R55" s="31"/>
      <c r="S55" s="31"/>
      <c r="T55" s="17"/>
      <c r="V55" s="356" t="str">
        <f>'지우지마세요!'!C3&amp;"년 "&amp;'지우지마세요!'!E3&amp;"월 "&amp;'지우지마세요!'!G3&amp;"일"</f>
        <v>2017년 3월 5일</v>
      </c>
      <c r="W55" s="357"/>
      <c r="X55" s="357"/>
      <c r="Y55" s="358"/>
    </row>
    <row r="56" spans="2:26">
      <c r="U56" s="6"/>
    </row>
    <row r="57" spans="2:26" ht="13.5">
      <c r="B57" s="312"/>
      <c r="C57" s="334" t="str">
        <f>IF(EXACT('지우지마세요!'!H4,""),"감사헌금",'지우지마세요!'!H4)</f>
        <v>감사헌금</v>
      </c>
      <c r="D57" s="334"/>
      <c r="E57" s="334"/>
      <c r="F57" s="334"/>
      <c r="G57" s="334"/>
      <c r="H57" s="334"/>
      <c r="I57" s="334"/>
      <c r="J57" s="334"/>
      <c r="K57" s="334"/>
      <c r="L57" s="334"/>
      <c r="M57" s="334"/>
      <c r="N57" s="334"/>
      <c r="O57" s="334"/>
      <c r="P57" s="334"/>
      <c r="Q57" s="334"/>
      <c r="R57" s="334"/>
      <c r="S57" s="334"/>
      <c r="T57" s="334"/>
      <c r="U57" s="334"/>
      <c r="V57" s="334"/>
      <c r="W57" s="331" t="s">
        <v>71</v>
      </c>
      <c r="X57" s="332"/>
      <c r="Y57" s="332"/>
      <c r="Z57" s="333"/>
    </row>
    <row r="58" spans="2:26">
      <c r="B58" s="305"/>
      <c r="C58" s="302" t="s">
        <v>34</v>
      </c>
      <c r="D58" s="302"/>
      <c r="E58" s="302" t="s">
        <v>14</v>
      </c>
      <c r="F58" s="302"/>
      <c r="G58" s="302" t="s">
        <v>34</v>
      </c>
      <c r="H58" s="302"/>
      <c r="I58" s="302" t="s">
        <v>14</v>
      </c>
      <c r="J58" s="302"/>
      <c r="K58" s="302" t="s">
        <v>176</v>
      </c>
      <c r="L58" s="302"/>
      <c r="M58" s="302" t="s">
        <v>177</v>
      </c>
      <c r="N58" s="302"/>
      <c r="O58" s="302" t="s">
        <v>34</v>
      </c>
      <c r="P58" s="302"/>
      <c r="Q58" s="302" t="s">
        <v>14</v>
      </c>
      <c r="R58" s="302"/>
      <c r="S58" s="302" t="s">
        <v>34</v>
      </c>
      <c r="T58" s="302"/>
      <c r="U58" s="302" t="s">
        <v>14</v>
      </c>
      <c r="V58" s="302"/>
      <c r="W58" s="302" t="s">
        <v>34</v>
      </c>
      <c r="X58" s="302"/>
      <c r="Y58" s="302" t="s">
        <v>14</v>
      </c>
      <c r="Z58" s="302"/>
    </row>
    <row r="59" spans="2:26" ht="14.25" customHeight="1">
      <c r="B59" s="11">
        <v>1</v>
      </c>
      <c r="C59" s="313"/>
      <c r="D59" s="314"/>
      <c r="E59" s="315"/>
      <c r="F59" s="314"/>
      <c r="G59" s="315"/>
      <c r="H59" s="314"/>
      <c r="I59" s="315"/>
      <c r="J59" s="314"/>
      <c r="K59" s="315"/>
      <c r="L59" s="314"/>
      <c r="M59" s="315"/>
      <c r="N59" s="314"/>
      <c r="O59" s="303"/>
      <c r="P59" s="303"/>
      <c r="Q59" s="303"/>
      <c r="R59" s="303"/>
      <c r="S59" s="303"/>
      <c r="T59" s="303"/>
      <c r="U59" s="303"/>
      <c r="V59" s="303"/>
      <c r="W59" s="303"/>
      <c r="X59" s="303"/>
      <c r="Y59" s="303"/>
      <c r="Z59" s="303"/>
    </row>
    <row r="60" spans="2:26" ht="14.25" customHeight="1">
      <c r="B60" s="11">
        <v>2</v>
      </c>
      <c r="C60" s="315"/>
      <c r="D60" s="314"/>
      <c r="E60" s="315"/>
      <c r="F60" s="314"/>
      <c r="G60" s="315"/>
      <c r="H60" s="314"/>
      <c r="I60" s="315"/>
      <c r="J60" s="314"/>
      <c r="K60" s="315"/>
      <c r="L60" s="314"/>
      <c r="M60" s="315"/>
      <c r="N60" s="314"/>
      <c r="O60" s="303"/>
      <c r="P60" s="303"/>
      <c r="Q60" s="303"/>
      <c r="R60" s="303"/>
      <c r="S60" s="303"/>
      <c r="T60" s="303"/>
      <c r="U60" s="303"/>
      <c r="V60" s="303"/>
      <c r="W60" s="303"/>
      <c r="X60" s="303"/>
      <c r="Y60" s="303"/>
      <c r="Z60" s="303"/>
    </row>
    <row r="61" spans="2:26" ht="14.25" customHeight="1">
      <c r="B61" s="11">
        <v>3</v>
      </c>
      <c r="C61" s="315"/>
      <c r="D61" s="314"/>
      <c r="E61" s="315"/>
      <c r="F61" s="314"/>
      <c r="G61" s="315"/>
      <c r="H61" s="314"/>
      <c r="I61" s="315"/>
      <c r="J61" s="314"/>
      <c r="K61" s="315"/>
      <c r="L61" s="314"/>
      <c r="M61" s="315"/>
      <c r="N61" s="314"/>
      <c r="O61" s="303"/>
      <c r="P61" s="303"/>
      <c r="Q61" s="303"/>
      <c r="R61" s="303"/>
      <c r="S61" s="303"/>
      <c r="T61" s="303"/>
      <c r="U61" s="303"/>
      <c r="V61" s="303"/>
      <c r="W61" s="303"/>
      <c r="X61" s="303"/>
      <c r="Y61" s="303"/>
      <c r="Z61" s="303"/>
    </row>
    <row r="62" spans="2:26" ht="14.25" customHeight="1">
      <c r="B62" s="11">
        <v>4</v>
      </c>
      <c r="C62" s="315"/>
      <c r="D62" s="314"/>
      <c r="E62" s="315"/>
      <c r="F62" s="314"/>
      <c r="G62" s="315"/>
      <c r="H62" s="314"/>
      <c r="I62" s="315"/>
      <c r="J62" s="314"/>
      <c r="K62" s="315"/>
      <c r="L62" s="314"/>
      <c r="M62" s="315"/>
      <c r="N62" s="314"/>
      <c r="O62" s="303"/>
      <c r="P62" s="303"/>
      <c r="Q62" s="303"/>
      <c r="R62" s="303"/>
      <c r="S62" s="303"/>
      <c r="T62" s="303"/>
      <c r="U62" s="303"/>
      <c r="V62" s="303"/>
      <c r="W62" s="303"/>
      <c r="X62" s="303"/>
      <c r="Y62" s="303"/>
      <c r="Z62" s="303"/>
    </row>
    <row r="63" spans="2:26" ht="14.25" customHeight="1">
      <c r="B63" s="11">
        <v>5</v>
      </c>
      <c r="C63" s="315"/>
      <c r="D63" s="314"/>
      <c r="E63" s="315"/>
      <c r="F63" s="314"/>
      <c r="G63" s="315"/>
      <c r="H63" s="314"/>
      <c r="I63" s="315"/>
      <c r="J63" s="314"/>
      <c r="K63" s="315"/>
      <c r="L63" s="314"/>
      <c r="M63" s="315"/>
      <c r="N63" s="314"/>
      <c r="O63" s="303"/>
      <c r="P63" s="303"/>
      <c r="Q63" s="303"/>
      <c r="R63" s="303"/>
      <c r="S63" s="303"/>
      <c r="T63" s="303"/>
      <c r="U63" s="303"/>
      <c r="V63" s="303"/>
      <c r="W63" s="303"/>
      <c r="X63" s="303"/>
      <c r="Y63" s="303"/>
      <c r="Z63" s="303"/>
    </row>
    <row r="64" spans="2:26" ht="14.25" customHeight="1">
      <c r="B64" s="11">
        <v>6</v>
      </c>
      <c r="C64" s="315"/>
      <c r="D64" s="314"/>
      <c r="E64" s="315"/>
      <c r="F64" s="314"/>
      <c r="G64" s="315"/>
      <c r="H64" s="314"/>
      <c r="I64" s="315"/>
      <c r="J64" s="314"/>
      <c r="K64" s="315"/>
      <c r="L64" s="314"/>
      <c r="M64" s="315"/>
      <c r="N64" s="314"/>
      <c r="O64" s="303"/>
      <c r="P64" s="303"/>
      <c r="Q64" s="303"/>
      <c r="R64" s="303"/>
      <c r="S64" s="303"/>
      <c r="T64" s="303"/>
      <c r="U64" s="303"/>
      <c r="V64" s="303"/>
      <c r="W64" s="303"/>
      <c r="X64" s="303"/>
      <c r="Y64" s="303"/>
      <c r="Z64" s="303"/>
    </row>
    <row r="65" spans="2:26" ht="14.25" customHeight="1">
      <c r="B65" s="11">
        <v>7</v>
      </c>
      <c r="C65" s="315"/>
      <c r="D65" s="314"/>
      <c r="E65" s="315"/>
      <c r="F65" s="314"/>
      <c r="G65" s="315"/>
      <c r="H65" s="314"/>
      <c r="I65" s="315"/>
      <c r="J65" s="314"/>
      <c r="K65" s="315"/>
      <c r="L65" s="314"/>
      <c r="M65" s="315"/>
      <c r="N65" s="314"/>
      <c r="O65" s="303"/>
      <c r="P65" s="303"/>
      <c r="Q65" s="303"/>
      <c r="R65" s="303"/>
      <c r="S65" s="303"/>
      <c r="T65" s="303"/>
      <c r="U65" s="303"/>
      <c r="V65" s="303"/>
      <c r="W65" s="303"/>
      <c r="X65" s="303"/>
      <c r="Y65" s="303"/>
      <c r="Z65" s="303"/>
    </row>
    <row r="66" spans="2:26" ht="14.25" customHeight="1">
      <c r="B66" s="11">
        <v>8</v>
      </c>
      <c r="C66" s="315"/>
      <c r="D66" s="314"/>
      <c r="E66" s="315"/>
      <c r="F66" s="314"/>
      <c r="G66" s="315"/>
      <c r="H66" s="314"/>
      <c r="I66" s="315"/>
      <c r="J66" s="314"/>
      <c r="K66" s="315"/>
      <c r="L66" s="314"/>
      <c r="M66" s="315"/>
      <c r="N66" s="314"/>
      <c r="O66" s="303"/>
      <c r="P66" s="303"/>
      <c r="Q66" s="303"/>
      <c r="R66" s="303"/>
      <c r="S66" s="303"/>
      <c r="T66" s="303"/>
      <c r="U66" s="303"/>
      <c r="V66" s="303"/>
      <c r="W66" s="303"/>
      <c r="X66" s="303"/>
      <c r="Y66" s="303"/>
      <c r="Z66" s="303"/>
    </row>
    <row r="67" spans="2:26" ht="14.25" customHeight="1">
      <c r="B67" s="11">
        <v>9</v>
      </c>
      <c r="C67" s="315"/>
      <c r="D67" s="314"/>
      <c r="E67" s="315"/>
      <c r="F67" s="314"/>
      <c r="G67" s="315"/>
      <c r="H67" s="314"/>
      <c r="I67" s="315"/>
      <c r="J67" s="314"/>
      <c r="K67" s="315"/>
      <c r="L67" s="314"/>
      <c r="M67" s="315"/>
      <c r="N67" s="314"/>
      <c r="O67" s="303"/>
      <c r="P67" s="303"/>
      <c r="Q67" s="303"/>
      <c r="R67" s="303"/>
      <c r="S67" s="303"/>
      <c r="T67" s="303"/>
      <c r="U67" s="303"/>
      <c r="V67" s="303"/>
      <c r="W67" s="303"/>
      <c r="X67" s="303"/>
      <c r="Y67" s="303"/>
      <c r="Z67" s="303"/>
    </row>
    <row r="68" spans="2:26" ht="14.25" customHeight="1">
      <c r="B68" s="11">
        <v>10</v>
      </c>
      <c r="C68" s="315"/>
      <c r="D68" s="314"/>
      <c r="E68" s="315"/>
      <c r="F68" s="314"/>
      <c r="G68" s="315"/>
      <c r="H68" s="314"/>
      <c r="I68" s="315"/>
      <c r="J68" s="314"/>
      <c r="K68" s="315"/>
      <c r="L68" s="314"/>
      <c r="M68" s="315"/>
      <c r="N68" s="314"/>
      <c r="O68" s="303"/>
      <c r="P68" s="303"/>
      <c r="Q68" s="303"/>
      <c r="R68" s="303"/>
      <c r="S68" s="303"/>
      <c r="T68" s="303"/>
      <c r="U68" s="303"/>
      <c r="V68" s="303"/>
      <c r="W68" s="303"/>
      <c r="X68" s="303"/>
      <c r="Y68" s="303"/>
      <c r="Z68" s="303"/>
    </row>
    <row r="69" spans="2:26" ht="14.25" customHeight="1">
      <c r="B69" s="11">
        <v>11</v>
      </c>
      <c r="C69" s="315"/>
      <c r="D69" s="314"/>
      <c r="E69" s="315"/>
      <c r="F69" s="314"/>
      <c r="G69" s="315"/>
      <c r="H69" s="314"/>
      <c r="I69" s="315"/>
      <c r="J69" s="314"/>
      <c r="K69" s="315"/>
      <c r="L69" s="314"/>
      <c r="M69" s="315"/>
      <c r="N69" s="314"/>
      <c r="O69" s="303"/>
      <c r="P69" s="303"/>
      <c r="Q69" s="303"/>
      <c r="R69" s="303"/>
      <c r="S69" s="303"/>
      <c r="T69" s="303"/>
      <c r="U69" s="303"/>
      <c r="V69" s="303"/>
      <c r="W69" s="303"/>
      <c r="X69" s="303"/>
      <c r="Y69" s="303"/>
      <c r="Z69" s="303"/>
    </row>
    <row r="70" spans="2:26" ht="14.25" customHeight="1">
      <c r="B70" s="11">
        <v>12</v>
      </c>
      <c r="C70" s="315"/>
      <c r="D70" s="314"/>
      <c r="E70" s="315"/>
      <c r="F70" s="314"/>
      <c r="G70" s="315"/>
      <c r="H70" s="314"/>
      <c r="I70" s="315"/>
      <c r="J70" s="314"/>
      <c r="K70" s="315"/>
      <c r="L70" s="314"/>
      <c r="M70" s="315"/>
      <c r="N70" s="314"/>
      <c r="O70" s="303"/>
      <c r="P70" s="303"/>
      <c r="Q70" s="303"/>
      <c r="R70" s="303"/>
      <c r="S70" s="303"/>
      <c r="T70" s="303"/>
      <c r="U70" s="303"/>
      <c r="V70" s="303"/>
      <c r="W70" s="303"/>
      <c r="X70" s="303"/>
      <c r="Y70" s="303"/>
      <c r="Z70" s="303"/>
    </row>
    <row r="71" spans="2:26" ht="14.25" customHeight="1">
      <c r="B71" s="11">
        <v>13</v>
      </c>
      <c r="C71" s="315"/>
      <c r="D71" s="314"/>
      <c r="E71" s="315"/>
      <c r="F71" s="314"/>
      <c r="G71" s="315"/>
      <c r="H71" s="314"/>
      <c r="I71" s="315"/>
      <c r="J71" s="314"/>
      <c r="K71" s="315"/>
      <c r="L71" s="314"/>
      <c r="M71" s="315"/>
      <c r="N71" s="314"/>
      <c r="O71" s="303"/>
      <c r="P71" s="303"/>
      <c r="Q71" s="303"/>
      <c r="R71" s="303"/>
      <c r="S71" s="303"/>
      <c r="T71" s="303"/>
      <c r="U71" s="303"/>
      <c r="V71" s="303"/>
      <c r="W71" s="303"/>
      <c r="X71" s="303"/>
      <c r="Y71" s="303"/>
      <c r="Z71" s="303"/>
    </row>
    <row r="72" spans="2:26" ht="14.25" customHeight="1">
      <c r="B72" s="11">
        <v>14</v>
      </c>
      <c r="C72" s="315"/>
      <c r="D72" s="314"/>
      <c r="E72" s="315"/>
      <c r="F72" s="314"/>
      <c r="G72" s="315"/>
      <c r="H72" s="314"/>
      <c r="I72" s="315"/>
      <c r="J72" s="314"/>
      <c r="K72" s="315"/>
      <c r="L72" s="314"/>
      <c r="M72" s="315"/>
      <c r="N72" s="314"/>
      <c r="O72" s="303"/>
      <c r="P72" s="303"/>
      <c r="Q72" s="303"/>
      <c r="R72" s="303"/>
      <c r="S72" s="303"/>
      <c r="T72" s="303"/>
      <c r="U72" s="303"/>
      <c r="V72" s="303"/>
      <c r="W72" s="303"/>
      <c r="X72" s="303"/>
      <c r="Y72" s="303"/>
      <c r="Z72" s="303"/>
    </row>
    <row r="73" spans="2:26" ht="14.25" customHeight="1">
      <c r="B73" s="11">
        <v>15</v>
      </c>
      <c r="C73" s="315"/>
      <c r="D73" s="314"/>
      <c r="E73" s="315"/>
      <c r="F73" s="314"/>
      <c r="G73" s="315"/>
      <c r="H73" s="314"/>
      <c r="I73" s="315"/>
      <c r="J73" s="314"/>
      <c r="K73" s="315"/>
      <c r="L73" s="314"/>
      <c r="M73" s="315"/>
      <c r="N73" s="314"/>
      <c r="O73" s="303"/>
      <c r="P73" s="303"/>
      <c r="Q73" s="303"/>
      <c r="R73" s="303"/>
      <c r="S73" s="303"/>
      <c r="T73" s="303"/>
      <c r="U73" s="303"/>
      <c r="V73" s="303"/>
      <c r="W73" s="303"/>
      <c r="X73" s="303"/>
      <c r="Y73" s="303"/>
      <c r="Z73" s="303"/>
    </row>
    <row r="74" spans="2:26" ht="14.25" customHeight="1">
      <c r="B74" s="11">
        <v>16</v>
      </c>
      <c r="C74" s="315"/>
      <c r="D74" s="314"/>
      <c r="E74" s="315"/>
      <c r="F74" s="314"/>
      <c r="G74" s="315"/>
      <c r="H74" s="314"/>
      <c r="I74" s="315"/>
      <c r="J74" s="314"/>
      <c r="K74" s="315"/>
      <c r="L74" s="314"/>
      <c r="M74" s="315"/>
      <c r="N74" s="314"/>
      <c r="O74" s="303"/>
      <c r="P74" s="303"/>
      <c r="Q74" s="303"/>
      <c r="R74" s="303"/>
      <c r="S74" s="303"/>
      <c r="T74" s="303"/>
      <c r="U74" s="303"/>
      <c r="V74" s="303"/>
      <c r="W74" s="303"/>
      <c r="X74" s="303"/>
      <c r="Y74" s="303"/>
      <c r="Z74" s="303"/>
    </row>
    <row r="75" spans="2:26" ht="14.25" customHeight="1">
      <c r="B75" s="11">
        <v>17</v>
      </c>
      <c r="C75" s="315"/>
      <c r="D75" s="314"/>
      <c r="E75" s="315"/>
      <c r="F75" s="314"/>
      <c r="G75" s="315"/>
      <c r="H75" s="314"/>
      <c r="I75" s="315"/>
      <c r="J75" s="314"/>
      <c r="K75" s="315"/>
      <c r="L75" s="314"/>
      <c r="M75" s="315"/>
      <c r="N75" s="314"/>
      <c r="O75" s="303"/>
      <c r="P75" s="303"/>
      <c r="Q75" s="303"/>
      <c r="R75" s="303"/>
      <c r="S75" s="303"/>
      <c r="T75" s="303"/>
      <c r="U75" s="303"/>
      <c r="V75" s="303"/>
      <c r="W75" s="303"/>
      <c r="X75" s="303"/>
      <c r="Y75" s="303"/>
      <c r="Z75" s="303"/>
    </row>
    <row r="76" spans="2:26" ht="14.25" customHeight="1">
      <c r="B76" s="11">
        <v>18</v>
      </c>
      <c r="C76" s="315"/>
      <c r="D76" s="314"/>
      <c r="E76" s="315"/>
      <c r="F76" s="314"/>
      <c r="G76" s="315"/>
      <c r="H76" s="314"/>
      <c r="I76" s="315"/>
      <c r="J76" s="314"/>
      <c r="K76" s="315"/>
      <c r="L76" s="314"/>
      <c r="M76" s="315"/>
      <c r="N76" s="314"/>
      <c r="O76" s="303"/>
      <c r="P76" s="303"/>
      <c r="Q76" s="303"/>
      <c r="R76" s="303"/>
      <c r="S76" s="303"/>
      <c r="T76" s="303"/>
      <c r="U76" s="303"/>
      <c r="V76" s="303"/>
      <c r="W76" s="303"/>
      <c r="X76" s="303"/>
      <c r="Y76" s="303"/>
      <c r="Z76" s="303"/>
    </row>
    <row r="77" spans="2:26" ht="14.25" customHeight="1">
      <c r="B77" s="11">
        <v>19</v>
      </c>
      <c r="C77" s="315"/>
      <c r="D77" s="314"/>
      <c r="E77" s="315"/>
      <c r="F77" s="314"/>
      <c r="G77" s="315"/>
      <c r="H77" s="314"/>
      <c r="I77" s="315"/>
      <c r="J77" s="314"/>
      <c r="K77" s="315"/>
      <c r="L77" s="314"/>
      <c r="M77" s="315"/>
      <c r="N77" s="314"/>
      <c r="O77" s="303"/>
      <c r="P77" s="303"/>
      <c r="Q77" s="303"/>
      <c r="R77" s="303"/>
      <c r="S77" s="303"/>
      <c r="T77" s="303"/>
      <c r="U77" s="303"/>
      <c r="V77" s="303"/>
      <c r="W77" s="303"/>
      <c r="X77" s="303"/>
      <c r="Y77" s="303"/>
      <c r="Z77" s="303"/>
    </row>
    <row r="78" spans="2:26" ht="14.25" customHeight="1">
      <c r="B78" s="11">
        <v>20</v>
      </c>
      <c r="C78" s="315"/>
      <c r="D78" s="314"/>
      <c r="E78" s="315"/>
      <c r="F78" s="314"/>
      <c r="G78" s="315"/>
      <c r="H78" s="314"/>
      <c r="I78" s="315"/>
      <c r="J78" s="314"/>
      <c r="K78" s="315"/>
      <c r="L78" s="314"/>
      <c r="M78" s="315"/>
      <c r="N78" s="314"/>
      <c r="O78" s="303"/>
      <c r="P78" s="303"/>
      <c r="Q78" s="303"/>
      <c r="R78" s="303"/>
      <c r="S78" s="303"/>
      <c r="T78" s="303"/>
      <c r="U78" s="303"/>
      <c r="V78" s="303"/>
      <c r="W78" s="303"/>
      <c r="X78" s="303"/>
      <c r="Y78" s="303"/>
      <c r="Z78" s="303"/>
    </row>
    <row r="79" spans="2:26" ht="14.25" customHeight="1">
      <c r="B79" s="11">
        <v>21</v>
      </c>
      <c r="C79" s="315"/>
      <c r="D79" s="314"/>
      <c r="E79" s="315"/>
      <c r="F79" s="314"/>
      <c r="G79" s="315"/>
      <c r="H79" s="314"/>
      <c r="I79" s="315"/>
      <c r="J79" s="314"/>
      <c r="K79" s="315"/>
      <c r="L79" s="314"/>
      <c r="M79" s="315"/>
      <c r="N79" s="314"/>
      <c r="O79" s="303"/>
      <c r="P79" s="303"/>
      <c r="Q79" s="303"/>
      <c r="R79" s="303"/>
      <c r="S79" s="303"/>
      <c r="T79" s="303"/>
      <c r="U79" s="303"/>
      <c r="V79" s="303"/>
      <c r="W79" s="303"/>
      <c r="X79" s="303"/>
      <c r="Y79" s="303"/>
      <c r="Z79" s="303"/>
    </row>
    <row r="80" spans="2:26" ht="14.25" customHeight="1">
      <c r="B80" s="11">
        <v>22</v>
      </c>
      <c r="C80" s="315"/>
      <c r="D80" s="314"/>
      <c r="E80" s="315"/>
      <c r="F80" s="314"/>
      <c r="G80" s="315"/>
      <c r="H80" s="314"/>
      <c r="I80" s="315"/>
      <c r="J80" s="314"/>
      <c r="K80" s="315"/>
      <c r="L80" s="314"/>
      <c r="M80" s="315"/>
      <c r="N80" s="314"/>
      <c r="O80" s="303"/>
      <c r="P80" s="303"/>
      <c r="Q80" s="303"/>
      <c r="R80" s="303"/>
      <c r="S80" s="303"/>
      <c r="T80" s="303"/>
      <c r="U80" s="303"/>
      <c r="V80" s="303"/>
      <c r="W80" s="303"/>
      <c r="X80" s="303"/>
      <c r="Y80" s="303"/>
      <c r="Z80" s="303"/>
    </row>
    <row r="81" spans="2:26" ht="14.25" customHeight="1">
      <c r="B81" s="11">
        <v>23</v>
      </c>
      <c r="C81" s="315"/>
      <c r="D81" s="314"/>
      <c r="E81" s="315"/>
      <c r="F81" s="314"/>
      <c r="G81" s="315"/>
      <c r="H81" s="314"/>
      <c r="I81" s="315"/>
      <c r="J81" s="314"/>
      <c r="K81" s="315"/>
      <c r="L81" s="314"/>
      <c r="M81" s="315"/>
      <c r="N81" s="314"/>
      <c r="O81" s="303"/>
      <c r="P81" s="303"/>
      <c r="Q81" s="303"/>
      <c r="R81" s="303"/>
      <c r="S81" s="303"/>
      <c r="T81" s="303"/>
      <c r="U81" s="303"/>
      <c r="V81" s="303"/>
      <c r="W81" s="303"/>
      <c r="X81" s="303"/>
      <c r="Y81" s="303"/>
      <c r="Z81" s="303"/>
    </row>
    <row r="82" spans="2:26" ht="14.25" customHeight="1">
      <c r="B82" s="11">
        <v>24</v>
      </c>
      <c r="C82" s="315"/>
      <c r="D82" s="314"/>
      <c r="E82" s="315"/>
      <c r="F82" s="314"/>
      <c r="G82" s="315"/>
      <c r="H82" s="314"/>
      <c r="I82" s="315"/>
      <c r="J82" s="314"/>
      <c r="K82" s="315"/>
      <c r="L82" s="314"/>
      <c r="M82" s="315"/>
      <c r="N82" s="314"/>
      <c r="O82" s="303"/>
      <c r="P82" s="303"/>
      <c r="Q82" s="303"/>
      <c r="R82" s="303"/>
      <c r="S82" s="303"/>
      <c r="T82" s="303"/>
      <c r="U82" s="303"/>
      <c r="V82" s="303"/>
      <c r="W82" s="303"/>
      <c r="X82" s="303"/>
      <c r="Y82" s="303"/>
      <c r="Z82" s="303"/>
    </row>
    <row r="83" spans="2:26" ht="14.25" customHeight="1">
      <c r="B83" s="11">
        <v>25</v>
      </c>
      <c r="C83" s="315"/>
      <c r="D83" s="314"/>
      <c r="E83" s="315"/>
      <c r="F83" s="314"/>
      <c r="G83" s="315"/>
      <c r="H83" s="314"/>
      <c r="I83" s="315"/>
      <c r="J83" s="314"/>
      <c r="K83" s="315"/>
      <c r="L83" s="314"/>
      <c r="M83" s="315"/>
      <c r="N83" s="314"/>
      <c r="O83" s="303"/>
      <c r="P83" s="303"/>
      <c r="Q83" s="303"/>
      <c r="R83" s="303"/>
      <c r="S83" s="303"/>
      <c r="T83" s="303"/>
      <c r="U83" s="303"/>
      <c r="V83" s="303"/>
      <c r="W83" s="303"/>
      <c r="X83" s="303"/>
      <c r="Y83" s="303"/>
      <c r="Z83" s="303"/>
    </row>
    <row r="84" spans="2:26" ht="14.25" customHeight="1">
      <c r="B84" s="11">
        <v>26</v>
      </c>
      <c r="C84" s="315"/>
      <c r="D84" s="314"/>
      <c r="E84" s="315"/>
      <c r="F84" s="314"/>
      <c r="G84" s="315"/>
      <c r="H84" s="314"/>
      <c r="I84" s="315"/>
      <c r="J84" s="314"/>
      <c r="K84" s="315"/>
      <c r="L84" s="314"/>
      <c r="M84" s="315"/>
      <c r="N84" s="314"/>
      <c r="O84" s="303"/>
      <c r="P84" s="303"/>
      <c r="Q84" s="303"/>
      <c r="R84" s="303"/>
      <c r="S84" s="303"/>
      <c r="T84" s="303"/>
      <c r="U84" s="303"/>
      <c r="V84" s="303"/>
      <c r="W84" s="303"/>
      <c r="X84" s="303"/>
      <c r="Y84" s="303"/>
      <c r="Z84" s="303"/>
    </row>
    <row r="85" spans="2:26" ht="14.25" customHeight="1">
      <c r="B85" s="11">
        <v>27</v>
      </c>
      <c r="C85" s="315"/>
      <c r="D85" s="314"/>
      <c r="E85" s="315"/>
      <c r="F85" s="314"/>
      <c r="G85" s="315"/>
      <c r="H85" s="314"/>
      <c r="I85" s="315"/>
      <c r="J85" s="314"/>
      <c r="K85" s="315"/>
      <c r="L85" s="314"/>
      <c r="M85" s="315"/>
      <c r="N85" s="314"/>
      <c r="O85" s="303"/>
      <c r="P85" s="303"/>
      <c r="Q85" s="303"/>
      <c r="R85" s="303"/>
      <c r="S85" s="303"/>
      <c r="T85" s="303"/>
      <c r="U85" s="303"/>
      <c r="V85" s="303"/>
      <c r="W85" s="315"/>
      <c r="X85" s="314"/>
      <c r="Y85" s="315"/>
      <c r="Z85" s="314"/>
    </row>
    <row r="86" spans="2:26" ht="14.25" customHeight="1">
      <c r="B86" s="11">
        <v>28</v>
      </c>
      <c r="C86" s="315"/>
      <c r="D86" s="314"/>
      <c r="E86" s="315"/>
      <c r="F86" s="314"/>
      <c r="G86" s="315"/>
      <c r="H86" s="314"/>
      <c r="I86" s="315"/>
      <c r="J86" s="314"/>
      <c r="K86" s="315"/>
      <c r="L86" s="314"/>
      <c r="M86" s="315"/>
      <c r="N86" s="314"/>
      <c r="O86" s="303"/>
      <c r="P86" s="303"/>
      <c r="Q86" s="303"/>
      <c r="R86" s="303"/>
      <c r="S86" s="303"/>
      <c r="T86" s="303"/>
      <c r="U86" s="303"/>
      <c r="V86" s="303"/>
      <c r="W86" s="315"/>
      <c r="X86" s="314"/>
      <c r="Y86" s="315"/>
      <c r="Z86" s="314"/>
    </row>
    <row r="87" spans="2:26" ht="14.25" customHeight="1">
      <c r="B87" s="11">
        <v>29</v>
      </c>
      <c r="C87" s="315"/>
      <c r="D87" s="314"/>
      <c r="E87" s="315"/>
      <c r="F87" s="314"/>
      <c r="G87" s="315"/>
      <c r="H87" s="314"/>
      <c r="I87" s="315"/>
      <c r="J87" s="314"/>
      <c r="K87" s="315"/>
      <c r="L87" s="314"/>
      <c r="M87" s="315"/>
      <c r="N87" s="314"/>
      <c r="O87" s="303"/>
      <c r="P87" s="303"/>
      <c r="Q87" s="303"/>
      <c r="R87" s="303"/>
      <c r="S87" s="303"/>
      <c r="T87" s="303"/>
      <c r="U87" s="303"/>
      <c r="V87" s="303"/>
      <c r="W87" s="303"/>
      <c r="X87" s="303"/>
      <c r="Y87" s="303"/>
      <c r="Z87" s="303"/>
    </row>
    <row r="88" spans="2:26" ht="14.25" customHeight="1">
      <c r="B88" s="11">
        <v>30</v>
      </c>
      <c r="C88" s="315"/>
      <c r="D88" s="314"/>
      <c r="E88" s="315"/>
      <c r="F88" s="314"/>
      <c r="G88" s="315"/>
      <c r="H88" s="314"/>
      <c r="I88" s="315"/>
      <c r="J88" s="314"/>
      <c r="K88" s="315"/>
      <c r="L88" s="314"/>
      <c r="M88" s="315"/>
      <c r="N88" s="314"/>
      <c r="O88" s="303"/>
      <c r="P88" s="303"/>
      <c r="Q88" s="303"/>
      <c r="R88" s="303"/>
      <c r="S88" s="303"/>
      <c r="T88" s="303"/>
      <c r="U88" s="303"/>
      <c r="V88" s="303"/>
      <c r="W88" s="303"/>
      <c r="X88" s="303"/>
      <c r="Y88" s="303"/>
      <c r="Z88" s="303"/>
    </row>
    <row r="89" spans="2:26" ht="14.25" customHeight="1">
      <c r="B89" s="11">
        <v>31</v>
      </c>
      <c r="C89" s="315"/>
      <c r="D89" s="314"/>
      <c r="E89" s="315"/>
      <c r="F89" s="314"/>
      <c r="G89" s="315"/>
      <c r="H89" s="314"/>
      <c r="I89" s="315"/>
      <c r="J89" s="314"/>
      <c r="K89" s="315"/>
      <c r="L89" s="314"/>
      <c r="M89" s="315"/>
      <c r="N89" s="314"/>
      <c r="O89" s="303"/>
      <c r="P89" s="303"/>
      <c r="Q89" s="303"/>
      <c r="R89" s="303"/>
      <c r="S89" s="303"/>
      <c r="T89" s="303"/>
      <c r="U89" s="303"/>
      <c r="V89" s="303"/>
      <c r="W89" s="303"/>
      <c r="X89" s="303"/>
      <c r="Y89" s="303"/>
      <c r="Z89" s="303"/>
    </row>
    <row r="90" spans="2:26" ht="14.25" customHeight="1">
      <c r="B90" s="11">
        <v>32</v>
      </c>
      <c r="C90" s="315"/>
      <c r="D90" s="314"/>
      <c r="E90" s="315"/>
      <c r="F90" s="314"/>
      <c r="G90" s="315"/>
      <c r="H90" s="314"/>
      <c r="I90" s="315"/>
      <c r="J90" s="314"/>
      <c r="K90" s="315"/>
      <c r="L90" s="314"/>
      <c r="M90" s="315"/>
      <c r="N90" s="314"/>
      <c r="O90" s="303"/>
      <c r="P90" s="303"/>
      <c r="Q90" s="303"/>
      <c r="R90" s="303"/>
      <c r="S90" s="303"/>
      <c r="T90" s="303"/>
      <c r="U90" s="303"/>
      <c r="V90" s="303"/>
      <c r="W90" s="303"/>
      <c r="X90" s="303"/>
      <c r="Y90" s="303"/>
      <c r="Z90" s="303"/>
    </row>
    <row r="91" spans="2:26" ht="14.25" customHeight="1">
      <c r="B91" s="11">
        <v>33</v>
      </c>
      <c r="C91" s="315"/>
      <c r="D91" s="314"/>
      <c r="E91" s="315"/>
      <c r="F91" s="314"/>
      <c r="G91" s="315"/>
      <c r="H91" s="314"/>
      <c r="I91" s="315"/>
      <c r="J91" s="314"/>
      <c r="K91" s="315"/>
      <c r="L91" s="314"/>
      <c r="M91" s="315"/>
      <c r="N91" s="314"/>
      <c r="O91" s="303"/>
      <c r="P91" s="303"/>
      <c r="Q91" s="303"/>
      <c r="R91" s="303"/>
      <c r="S91" s="303"/>
      <c r="T91" s="303"/>
      <c r="U91" s="303"/>
      <c r="V91" s="303"/>
      <c r="W91" s="303"/>
      <c r="X91" s="303"/>
      <c r="Y91" s="303"/>
      <c r="Z91" s="303"/>
    </row>
    <row r="92" spans="2:26" ht="14.25" customHeight="1">
      <c r="B92" s="11">
        <v>34</v>
      </c>
      <c r="C92" s="315"/>
      <c r="D92" s="314"/>
      <c r="E92" s="315"/>
      <c r="F92" s="314"/>
      <c r="G92" s="315"/>
      <c r="H92" s="314"/>
      <c r="I92" s="315"/>
      <c r="J92" s="314"/>
      <c r="K92" s="315"/>
      <c r="L92" s="314"/>
      <c r="M92" s="315"/>
      <c r="N92" s="314"/>
      <c r="O92" s="303"/>
      <c r="P92" s="303"/>
      <c r="Q92" s="303"/>
      <c r="R92" s="303"/>
      <c r="S92" s="303"/>
      <c r="T92" s="303"/>
      <c r="U92" s="303"/>
      <c r="V92" s="303"/>
      <c r="W92" s="303"/>
      <c r="X92" s="303"/>
      <c r="Y92" s="303"/>
      <c r="Z92" s="303"/>
    </row>
    <row r="93" spans="2:26" ht="14.25" customHeight="1">
      <c r="B93" s="11">
        <v>35</v>
      </c>
      <c r="C93" s="315"/>
      <c r="D93" s="314"/>
      <c r="E93" s="315"/>
      <c r="F93" s="314"/>
      <c r="G93" s="315"/>
      <c r="H93" s="314"/>
      <c r="I93" s="315"/>
      <c r="J93" s="314"/>
      <c r="K93" s="315"/>
      <c r="L93" s="314"/>
      <c r="M93" s="315"/>
      <c r="N93" s="314"/>
      <c r="O93" s="303"/>
      <c r="P93" s="303"/>
      <c r="Q93" s="303"/>
      <c r="R93" s="303"/>
      <c r="S93" s="303"/>
      <c r="T93" s="303"/>
      <c r="U93" s="303"/>
      <c r="V93" s="303"/>
      <c r="W93" s="303"/>
      <c r="X93" s="303"/>
      <c r="Y93" s="303"/>
      <c r="Z93" s="303"/>
    </row>
    <row r="94" spans="2:26" ht="14.25" customHeight="1">
      <c r="B94" s="11">
        <v>36</v>
      </c>
      <c r="C94" s="315"/>
      <c r="D94" s="314"/>
      <c r="E94" s="315"/>
      <c r="F94" s="314"/>
      <c r="G94" s="315"/>
      <c r="H94" s="314"/>
      <c r="I94" s="315"/>
      <c r="J94" s="314"/>
      <c r="K94" s="315"/>
      <c r="L94" s="314"/>
      <c r="M94" s="315"/>
      <c r="N94" s="314"/>
      <c r="O94" s="303"/>
      <c r="P94" s="303"/>
      <c r="Q94" s="303"/>
      <c r="R94" s="303"/>
      <c r="S94" s="303"/>
      <c r="T94" s="303"/>
      <c r="U94" s="303"/>
      <c r="V94" s="303"/>
      <c r="W94" s="303"/>
      <c r="X94" s="303"/>
      <c r="Y94" s="303"/>
      <c r="Z94" s="303"/>
    </row>
    <row r="95" spans="2:26" ht="14.25" customHeight="1">
      <c r="B95" s="11">
        <v>37</v>
      </c>
      <c r="C95" s="315"/>
      <c r="D95" s="314"/>
      <c r="E95" s="315"/>
      <c r="F95" s="314"/>
      <c r="G95" s="315"/>
      <c r="H95" s="314"/>
      <c r="I95" s="315"/>
      <c r="J95" s="314"/>
      <c r="K95" s="303"/>
      <c r="L95" s="303"/>
      <c r="M95" s="303"/>
      <c r="N95" s="303"/>
      <c r="O95" s="303"/>
      <c r="P95" s="303"/>
      <c r="Q95" s="303"/>
      <c r="R95" s="303"/>
      <c r="S95" s="303"/>
      <c r="T95" s="303"/>
      <c r="U95" s="303"/>
      <c r="V95" s="303"/>
      <c r="W95" s="303"/>
      <c r="X95" s="303"/>
      <c r="Y95" s="303"/>
      <c r="Z95" s="303"/>
    </row>
    <row r="96" spans="2:26" ht="14.25" customHeight="1">
      <c r="B96" s="11">
        <v>38</v>
      </c>
      <c r="C96" s="315"/>
      <c r="D96" s="314"/>
      <c r="E96" s="315"/>
      <c r="F96" s="314"/>
      <c r="G96" s="315"/>
      <c r="H96" s="314"/>
      <c r="I96" s="315"/>
      <c r="J96" s="314"/>
      <c r="K96" s="303"/>
      <c r="L96" s="303"/>
      <c r="M96" s="303"/>
      <c r="N96" s="303"/>
      <c r="O96" s="303"/>
      <c r="P96" s="303"/>
      <c r="Q96" s="303"/>
      <c r="R96" s="303"/>
      <c r="S96" s="303"/>
      <c r="T96" s="303"/>
      <c r="U96" s="303"/>
      <c r="V96" s="303"/>
      <c r="W96" s="303"/>
      <c r="X96" s="303"/>
      <c r="Y96" s="303"/>
      <c r="Z96" s="303"/>
    </row>
    <row r="97" spans="2:26" ht="14.25" customHeight="1">
      <c r="B97" s="11">
        <v>39</v>
      </c>
      <c r="C97" s="315"/>
      <c r="D97" s="314"/>
      <c r="E97" s="315"/>
      <c r="F97" s="314"/>
      <c r="G97" s="315"/>
      <c r="H97" s="314"/>
      <c r="I97" s="315"/>
      <c r="J97" s="314"/>
      <c r="K97" s="303"/>
      <c r="L97" s="303"/>
      <c r="M97" s="303"/>
      <c r="N97" s="303"/>
      <c r="O97" s="303"/>
      <c r="P97" s="303"/>
      <c r="Q97" s="303"/>
      <c r="R97" s="303"/>
      <c r="S97" s="303"/>
      <c r="T97" s="303"/>
      <c r="U97" s="303"/>
      <c r="V97" s="303"/>
      <c r="W97" s="303"/>
      <c r="X97" s="303"/>
      <c r="Y97" s="303"/>
      <c r="Z97" s="303"/>
    </row>
    <row r="98" spans="2:26" ht="14.25" customHeight="1">
      <c r="B98" s="11">
        <v>40</v>
      </c>
      <c r="C98" s="315"/>
      <c r="D98" s="314"/>
      <c r="E98" s="315"/>
      <c r="F98" s="314"/>
      <c r="G98" s="315"/>
      <c r="H98" s="314"/>
      <c r="I98" s="315"/>
      <c r="J98" s="314"/>
      <c r="K98" s="303"/>
      <c r="L98" s="303"/>
      <c r="M98" s="303"/>
      <c r="N98" s="303"/>
      <c r="O98" s="303"/>
      <c r="P98" s="303"/>
      <c r="Q98" s="303"/>
      <c r="R98" s="303"/>
      <c r="S98" s="303"/>
      <c r="T98" s="303"/>
      <c r="U98" s="303"/>
      <c r="V98" s="303"/>
      <c r="W98" s="303"/>
      <c r="X98" s="303"/>
      <c r="Y98" s="303"/>
      <c r="Z98" s="303"/>
    </row>
    <row r="99" spans="2:26" ht="14.25" customHeight="1">
      <c r="B99" s="11">
        <v>41</v>
      </c>
      <c r="C99" s="315"/>
      <c r="D99" s="314"/>
      <c r="E99" s="315"/>
      <c r="F99" s="314"/>
      <c r="G99" s="315"/>
      <c r="H99" s="314"/>
      <c r="I99" s="315"/>
      <c r="J99" s="314"/>
      <c r="K99" s="303"/>
      <c r="L99" s="303"/>
      <c r="M99" s="303"/>
      <c r="N99" s="303"/>
      <c r="O99" s="303"/>
      <c r="P99" s="303"/>
      <c r="Q99" s="303"/>
      <c r="R99" s="303"/>
      <c r="S99" s="303"/>
      <c r="T99" s="303"/>
      <c r="U99" s="303"/>
      <c r="V99" s="303"/>
      <c r="W99" s="303"/>
      <c r="X99" s="303"/>
      <c r="Y99" s="303"/>
      <c r="Z99" s="303"/>
    </row>
    <row r="100" spans="2:26" ht="14.25" customHeight="1">
      <c r="B100" s="11">
        <v>42</v>
      </c>
      <c r="C100" s="315"/>
      <c r="D100" s="314"/>
      <c r="E100" s="315"/>
      <c r="F100" s="314"/>
      <c r="G100" s="315"/>
      <c r="H100" s="314"/>
      <c r="I100" s="315"/>
      <c r="J100" s="314"/>
      <c r="K100" s="303"/>
      <c r="L100" s="303"/>
      <c r="M100" s="303"/>
      <c r="N100" s="303"/>
      <c r="O100" s="303"/>
      <c r="P100" s="303"/>
      <c r="Q100" s="303"/>
      <c r="R100" s="303"/>
      <c r="S100" s="303"/>
      <c r="T100" s="303"/>
      <c r="U100" s="303"/>
      <c r="V100" s="303"/>
      <c r="W100" s="303"/>
      <c r="X100" s="303"/>
      <c r="Y100" s="303"/>
      <c r="Z100" s="303"/>
    </row>
    <row r="101" spans="2:26" ht="14.25" customHeight="1">
      <c r="B101" s="11">
        <v>43</v>
      </c>
      <c r="C101" s="315"/>
      <c r="D101" s="314"/>
      <c r="E101" s="315"/>
      <c r="F101" s="314"/>
      <c r="G101" s="315"/>
      <c r="H101" s="314"/>
      <c r="I101" s="315"/>
      <c r="J101" s="314"/>
      <c r="K101" s="303"/>
      <c r="L101" s="303"/>
      <c r="M101" s="303"/>
      <c r="N101" s="303"/>
      <c r="O101" s="303"/>
      <c r="P101" s="303"/>
      <c r="Q101" s="303"/>
      <c r="R101" s="303"/>
      <c r="S101" s="303"/>
      <c r="T101" s="303"/>
      <c r="U101" s="303"/>
      <c r="V101" s="303"/>
      <c r="W101" s="303"/>
      <c r="X101" s="303"/>
      <c r="Y101" s="303"/>
      <c r="Z101" s="303"/>
    </row>
    <row r="102" spans="2:26" ht="14.25" customHeight="1">
      <c r="B102" s="11">
        <v>44</v>
      </c>
      <c r="C102" s="315"/>
      <c r="D102" s="314"/>
      <c r="E102" s="315"/>
      <c r="F102" s="314"/>
      <c r="G102" s="315"/>
      <c r="H102" s="314"/>
      <c r="I102" s="315"/>
      <c r="J102" s="314"/>
      <c r="K102" s="303"/>
      <c r="L102" s="303"/>
      <c r="M102" s="303"/>
      <c r="N102" s="303"/>
      <c r="O102" s="303"/>
      <c r="P102" s="303"/>
      <c r="Q102" s="303"/>
      <c r="R102" s="303"/>
      <c r="S102" s="303"/>
      <c r="T102" s="303"/>
      <c r="U102" s="303"/>
      <c r="V102" s="303"/>
      <c r="W102" s="303"/>
      <c r="X102" s="303"/>
      <c r="Y102" s="303"/>
      <c r="Z102" s="303"/>
    </row>
    <row r="103" spans="2:26" ht="14.25" customHeight="1">
      <c r="B103" s="11">
        <v>45</v>
      </c>
      <c r="C103" s="315"/>
      <c r="D103" s="314"/>
      <c r="E103" s="315"/>
      <c r="F103" s="314"/>
      <c r="G103" s="315"/>
      <c r="H103" s="314"/>
      <c r="I103" s="315"/>
      <c r="J103" s="314"/>
      <c r="K103" s="303"/>
      <c r="L103" s="303"/>
      <c r="M103" s="303"/>
      <c r="N103" s="303"/>
      <c r="O103" s="303"/>
      <c r="P103" s="303"/>
      <c r="Q103" s="303"/>
      <c r="R103" s="303"/>
      <c r="S103" s="303"/>
      <c r="T103" s="303"/>
      <c r="U103" s="303"/>
      <c r="V103" s="303"/>
      <c r="W103" s="303"/>
      <c r="X103" s="303"/>
      <c r="Y103" s="303"/>
      <c r="Z103" s="303"/>
    </row>
    <row r="104" spans="2:26" ht="16.5" hidden="1" customHeight="1">
      <c r="F104" s="4">
        <f>COUNTIF(E59:F103,"&gt;0")</f>
        <v>0</v>
      </c>
      <c r="G104" s="372"/>
      <c r="H104" s="373"/>
      <c r="I104" s="79"/>
      <c r="J104" s="4">
        <f>COUNTIF(I59:J103,"&gt;0")</f>
        <v>0</v>
      </c>
      <c r="K104" s="77"/>
      <c r="L104" s="77"/>
      <c r="M104" s="78"/>
      <c r="N104" s="4">
        <f>COUNTIF(M59:N103,"&gt;0")</f>
        <v>0</v>
      </c>
      <c r="O104"/>
      <c r="P104"/>
      <c r="Q104"/>
      <c r="R104" s="4">
        <f>COUNTIF(Q59:R103,"&gt;0")</f>
        <v>0</v>
      </c>
      <c r="S104"/>
      <c r="T104"/>
      <c r="U104"/>
      <c r="V104" s="4">
        <f>COUNTIF(U59:V103,"&gt;0")</f>
        <v>0</v>
      </c>
      <c r="W104"/>
      <c r="X104"/>
      <c r="Y104"/>
      <c r="Z104" s="4">
        <f>COUNTIF(Y59:Z103,"&gt;0")</f>
        <v>0</v>
      </c>
    </row>
    <row r="105" spans="2:26" ht="16.5" hidden="1" customHeight="1">
      <c r="C105" s="374">
        <f>SUM(E59:F103)*1000</f>
        <v>0</v>
      </c>
      <c r="D105" s="374"/>
      <c r="E105" s="374"/>
      <c r="F105" s="374"/>
      <c r="G105" s="374">
        <f>SUM(I59:J103)*1000</f>
        <v>0</v>
      </c>
      <c r="H105" s="374"/>
      <c r="I105" s="374"/>
      <c r="J105" s="374"/>
      <c r="K105" s="374">
        <f>SUM(M59:N103)*1000</f>
        <v>0</v>
      </c>
      <c r="L105" s="374"/>
      <c r="M105" s="374"/>
      <c r="N105" s="374"/>
      <c r="O105" s="374">
        <f>SUM(Q59:R103)*1000</f>
        <v>0</v>
      </c>
      <c r="P105" s="374"/>
      <c r="Q105" s="374"/>
      <c r="R105" s="374"/>
      <c r="S105" s="374">
        <f>SUM(U59:V103)*1000</f>
        <v>0</v>
      </c>
      <c r="T105" s="374"/>
      <c r="U105" s="374"/>
      <c r="V105" s="374"/>
      <c r="W105" s="374">
        <f>SUM(Y59:Z103)*1000</f>
        <v>0</v>
      </c>
      <c r="X105" s="374"/>
      <c r="Y105" s="374"/>
      <c r="Z105" s="374"/>
    </row>
    <row r="106" spans="2:26" hidden="1">
      <c r="C106" s="194" t="s">
        <v>156</v>
      </c>
      <c r="D106" s="194"/>
      <c r="E106" s="194"/>
      <c r="F106" s="194"/>
      <c r="G106" s="194">
        <f>F104+J104+N104+R104+V104+Z104</f>
        <v>0</v>
      </c>
      <c r="H106" s="194"/>
      <c r="I106" s="194"/>
      <c r="J106" s="194"/>
      <c r="K106" s="194"/>
      <c r="L106" s="194"/>
      <c r="M106" s="194"/>
      <c r="N106" s="194"/>
      <c r="O106" s="194" t="s">
        <v>157</v>
      </c>
      <c r="P106" s="194"/>
      <c r="Q106" s="194"/>
      <c r="R106" s="194"/>
      <c r="S106" s="371">
        <f>C105+G105+K105+O105+S105+W105</f>
        <v>0</v>
      </c>
      <c r="T106" s="194"/>
      <c r="U106" s="194"/>
      <c r="V106" s="194"/>
      <c r="W106" s="194"/>
      <c r="X106" s="194"/>
      <c r="Y106" s="194"/>
      <c r="Z106" s="194"/>
    </row>
    <row r="108" spans="2:26" ht="22.5">
      <c r="B108" s="17"/>
      <c r="C108" s="17"/>
      <c r="D108" s="17"/>
      <c r="E108" s="17"/>
      <c r="F108" s="17"/>
      <c r="G108" s="17"/>
      <c r="H108" s="17"/>
      <c r="I108" s="17"/>
      <c r="J108" s="34" t="s">
        <v>126</v>
      </c>
      <c r="L108" s="31"/>
      <c r="M108" s="31"/>
      <c r="N108" s="31"/>
      <c r="O108" s="31"/>
      <c r="P108" s="31"/>
      <c r="Q108" s="31"/>
      <c r="R108" s="31"/>
      <c r="S108" s="31"/>
      <c r="T108" s="17"/>
      <c r="V108" s="356" t="str">
        <f>'지우지마세요!'!C3&amp;"년 "&amp;'지우지마세요!'!E3&amp;"월 "&amp;'지우지마세요!'!G3&amp;"일"</f>
        <v>2017년 3월 5일</v>
      </c>
      <c r="W108" s="357"/>
      <c r="X108" s="357"/>
      <c r="Y108" s="358"/>
    </row>
    <row r="110" spans="2:26" ht="18" customHeight="1">
      <c r="B110" s="4"/>
      <c r="C110" s="365" t="s">
        <v>3</v>
      </c>
      <c r="D110" s="365"/>
      <c r="E110" s="365"/>
      <c r="F110" s="365"/>
      <c r="G110" s="365"/>
      <c r="H110" s="365"/>
      <c r="I110" s="365"/>
      <c r="J110" s="365"/>
      <c r="K110" s="365"/>
      <c r="L110" s="365"/>
      <c r="M110" s="365"/>
      <c r="N110" s="365"/>
      <c r="O110" s="365"/>
      <c r="P110" s="365"/>
      <c r="Q110" s="365"/>
      <c r="R110" s="365"/>
      <c r="S110" s="365"/>
      <c r="T110" s="365"/>
      <c r="U110" s="365"/>
      <c r="V110" s="365"/>
      <c r="W110" s="370" t="s">
        <v>74</v>
      </c>
      <c r="X110" s="370"/>
      <c r="Y110" s="370"/>
      <c r="Z110" s="370"/>
    </row>
    <row r="111" spans="2:26" ht="15.4" customHeight="1">
      <c r="B111" s="197" t="s">
        <v>49</v>
      </c>
      <c r="C111" s="194" t="s">
        <v>75</v>
      </c>
      <c r="D111" s="194"/>
      <c r="E111" s="194"/>
      <c r="F111" s="194"/>
      <c r="G111" s="194"/>
      <c r="H111" s="194"/>
      <c r="I111" s="194"/>
      <c r="J111" s="194"/>
      <c r="K111" s="194"/>
      <c r="L111" s="194"/>
      <c r="M111" s="194"/>
      <c r="N111" s="194"/>
      <c r="O111" s="366" t="s">
        <v>76</v>
      </c>
      <c r="P111" s="366"/>
      <c r="Q111" s="366"/>
      <c r="R111" s="366"/>
      <c r="S111" s="366"/>
      <c r="T111" s="366"/>
      <c r="U111" s="366"/>
      <c r="V111" s="366"/>
      <c r="W111" s="366"/>
      <c r="X111" s="366"/>
      <c r="Y111" s="366"/>
      <c r="Z111" s="366"/>
    </row>
    <row r="112" spans="2:26" ht="15.4" customHeight="1">
      <c r="B112" s="197"/>
      <c r="C112" s="367"/>
      <c r="D112" s="368"/>
      <c r="E112" s="368"/>
      <c r="F112" s="368"/>
      <c r="G112" s="368"/>
      <c r="H112" s="368"/>
      <c r="I112" s="368"/>
      <c r="J112" s="368"/>
      <c r="K112" s="368"/>
      <c r="L112" s="368"/>
      <c r="M112" s="368"/>
      <c r="N112" s="369"/>
      <c r="O112" s="359"/>
      <c r="P112" s="360"/>
      <c r="Q112" s="360"/>
      <c r="R112" s="360"/>
      <c r="S112" s="360"/>
      <c r="T112" s="360"/>
      <c r="U112" s="360"/>
      <c r="V112" s="360"/>
      <c r="W112" s="360"/>
      <c r="X112" s="360"/>
      <c r="Y112" s="360"/>
      <c r="Z112" s="361"/>
    </row>
    <row r="113" spans="2:26" ht="15.4" customHeight="1"/>
    <row r="114" spans="2:26" ht="18" customHeight="1">
      <c r="B114" s="194"/>
      <c r="C114" s="365" t="s">
        <v>77</v>
      </c>
      <c r="D114" s="365"/>
      <c r="E114" s="365"/>
      <c r="F114" s="365"/>
      <c r="G114" s="365"/>
      <c r="H114" s="365"/>
      <c r="I114" s="365"/>
      <c r="J114" s="365"/>
      <c r="K114" s="365"/>
      <c r="L114" s="365"/>
      <c r="M114" s="365"/>
      <c r="N114" s="365"/>
      <c r="O114" s="365"/>
      <c r="P114" s="365"/>
      <c r="Q114" s="365"/>
      <c r="R114" s="365"/>
      <c r="S114" s="365"/>
      <c r="T114" s="365"/>
      <c r="U114" s="365"/>
      <c r="V114" s="365"/>
      <c r="W114" s="362" t="s">
        <v>35</v>
      </c>
      <c r="X114" s="363"/>
      <c r="Y114" s="363"/>
      <c r="Z114" s="364"/>
    </row>
    <row r="115" spans="2:26" ht="15.4" customHeight="1">
      <c r="B115" s="194"/>
      <c r="C115" s="194" t="s">
        <v>34</v>
      </c>
      <c r="D115" s="194"/>
      <c r="E115" s="194" t="s">
        <v>14</v>
      </c>
      <c r="F115" s="194"/>
      <c r="G115" s="194" t="s">
        <v>34</v>
      </c>
      <c r="H115" s="194"/>
      <c r="I115" s="194" t="s">
        <v>14</v>
      </c>
      <c r="J115" s="194"/>
      <c r="K115" s="194" t="s">
        <v>34</v>
      </c>
      <c r="L115" s="194"/>
      <c r="M115" s="194" t="s">
        <v>14</v>
      </c>
      <c r="N115" s="194"/>
      <c r="O115" s="194" t="s">
        <v>34</v>
      </c>
      <c r="P115" s="194"/>
      <c r="Q115" s="194" t="s">
        <v>14</v>
      </c>
      <c r="R115" s="194"/>
      <c r="S115" s="194" t="s">
        <v>34</v>
      </c>
      <c r="T115" s="194"/>
      <c r="U115" s="194" t="s">
        <v>14</v>
      </c>
      <c r="V115" s="194"/>
      <c r="W115" s="194" t="s">
        <v>34</v>
      </c>
      <c r="X115" s="194"/>
      <c r="Y115" s="194" t="s">
        <v>14</v>
      </c>
      <c r="Z115" s="194"/>
    </row>
    <row r="116" spans="2:26" ht="13.9" customHeight="1">
      <c r="B116" s="8">
        <v>1</v>
      </c>
      <c r="C116" s="290"/>
      <c r="D116" s="290"/>
      <c r="E116" s="291"/>
      <c r="F116" s="291"/>
      <c r="G116" s="290"/>
      <c r="H116" s="290"/>
      <c r="I116" s="291"/>
      <c r="J116" s="291"/>
      <c r="K116" s="290"/>
      <c r="L116" s="290"/>
      <c r="M116" s="291"/>
      <c r="N116" s="291"/>
      <c r="O116" s="290"/>
      <c r="P116" s="290"/>
      <c r="Q116" s="291"/>
      <c r="R116" s="291"/>
      <c r="S116" s="290"/>
      <c r="T116" s="290"/>
      <c r="U116" s="291"/>
      <c r="V116" s="291"/>
      <c r="W116" s="290"/>
      <c r="X116" s="290"/>
      <c r="Y116" s="291"/>
      <c r="Z116" s="291"/>
    </row>
    <row r="117" spans="2:26" ht="13.9" customHeight="1">
      <c r="B117" s="8">
        <v>2</v>
      </c>
      <c r="C117" s="290"/>
      <c r="D117" s="290"/>
      <c r="E117" s="291"/>
      <c r="F117" s="291"/>
      <c r="G117" s="290"/>
      <c r="H117" s="290"/>
      <c r="I117" s="291"/>
      <c r="J117" s="291"/>
      <c r="K117" s="290"/>
      <c r="L117" s="290"/>
      <c r="M117" s="291"/>
      <c r="N117" s="291"/>
      <c r="O117" s="290"/>
      <c r="P117" s="290"/>
      <c r="Q117" s="291"/>
      <c r="R117" s="291"/>
      <c r="S117" s="290"/>
      <c r="T117" s="290"/>
      <c r="U117" s="291"/>
      <c r="V117" s="291"/>
      <c r="W117" s="290"/>
      <c r="X117" s="290"/>
      <c r="Y117" s="291"/>
      <c r="Z117" s="291"/>
    </row>
    <row r="118" spans="2:26" ht="13.9" customHeight="1">
      <c r="B118" s="8">
        <v>3</v>
      </c>
      <c r="C118" s="290"/>
      <c r="D118" s="290"/>
      <c r="E118" s="291"/>
      <c r="F118" s="291"/>
      <c r="G118" s="290"/>
      <c r="H118" s="290"/>
      <c r="I118" s="291"/>
      <c r="J118" s="291"/>
      <c r="K118" s="290"/>
      <c r="L118" s="290"/>
      <c r="M118" s="291"/>
      <c r="N118" s="291"/>
      <c r="O118" s="290"/>
      <c r="P118" s="290"/>
      <c r="Q118" s="291"/>
      <c r="R118" s="291"/>
      <c r="S118" s="290"/>
      <c r="T118" s="290"/>
      <c r="U118" s="291"/>
      <c r="V118" s="291"/>
      <c r="W118" s="290"/>
      <c r="X118" s="290"/>
      <c r="Y118" s="291"/>
      <c r="Z118" s="291"/>
    </row>
    <row r="119" spans="2:26" ht="13.9" customHeight="1">
      <c r="B119" s="8">
        <v>4</v>
      </c>
      <c r="C119" s="290"/>
      <c r="D119" s="290"/>
      <c r="E119" s="291"/>
      <c r="F119" s="291"/>
      <c r="G119" s="290"/>
      <c r="H119" s="290"/>
      <c r="I119" s="291"/>
      <c r="J119" s="291"/>
      <c r="K119" s="290"/>
      <c r="L119" s="290"/>
      <c r="M119" s="291"/>
      <c r="N119" s="291"/>
      <c r="O119" s="290"/>
      <c r="P119" s="290"/>
      <c r="Q119" s="291"/>
      <c r="R119" s="291"/>
      <c r="S119" s="290"/>
      <c r="T119" s="290"/>
      <c r="U119" s="291"/>
      <c r="V119" s="291"/>
      <c r="W119" s="290"/>
      <c r="X119" s="290"/>
      <c r="Y119" s="291"/>
      <c r="Z119" s="291"/>
    </row>
    <row r="120" spans="2:26" ht="13.9" customHeight="1">
      <c r="B120" s="8">
        <v>5</v>
      </c>
      <c r="C120" s="290"/>
      <c r="D120" s="290"/>
      <c r="E120" s="291"/>
      <c r="F120" s="291"/>
      <c r="G120" s="290"/>
      <c r="H120" s="290"/>
      <c r="I120" s="291"/>
      <c r="J120" s="291"/>
      <c r="K120" s="290"/>
      <c r="L120" s="290"/>
      <c r="M120" s="291"/>
      <c r="N120" s="291"/>
      <c r="O120" s="290"/>
      <c r="P120" s="290"/>
      <c r="Q120" s="291"/>
      <c r="R120" s="291"/>
      <c r="S120" s="290"/>
      <c r="T120" s="290"/>
      <c r="U120" s="291"/>
      <c r="V120" s="291"/>
      <c r="W120" s="290"/>
      <c r="X120" s="290"/>
      <c r="Y120" s="291"/>
      <c r="Z120" s="291"/>
    </row>
    <row r="121" spans="2:26" hidden="1">
      <c r="F121" s="4">
        <f>COUNTIF(E116:F120,"&gt;0")</f>
        <v>0</v>
      </c>
      <c r="J121" s="4">
        <f>COUNTIF(I116:J120,"&gt;0")</f>
        <v>0</v>
      </c>
      <c r="N121" s="4">
        <f>COUNTIF(M116:N120,"&gt;0")</f>
        <v>0</v>
      </c>
      <c r="R121" s="4">
        <f>COUNTIF(Q116:R120,"&gt;0")</f>
        <v>0</v>
      </c>
      <c r="V121" s="4">
        <f>COUNTIF(U116:V120,"&gt;0")</f>
        <v>0</v>
      </c>
      <c r="Z121" s="4">
        <f>COUNTIF(Y116:Z120,"&gt;0")</f>
        <v>0</v>
      </c>
    </row>
    <row r="122" spans="2:26" ht="16.5" hidden="1" customHeight="1">
      <c r="C122" s="374">
        <f>SUM(E116:F120)*1000</f>
        <v>0</v>
      </c>
      <c r="D122" s="374"/>
      <c r="E122" s="374"/>
      <c r="F122" s="374"/>
      <c r="G122" s="374">
        <f>SUM(I116:J120)*1000</f>
        <v>0</v>
      </c>
      <c r="H122" s="374"/>
      <c r="I122" s="374"/>
      <c r="J122" s="374"/>
      <c r="K122" s="374">
        <f>SUM(M116:N120)*1000</f>
        <v>0</v>
      </c>
      <c r="L122" s="374"/>
      <c r="M122" s="374"/>
      <c r="N122" s="374"/>
      <c r="O122" s="374">
        <f>SUM(Q116:R120)*1000</f>
        <v>0</v>
      </c>
      <c r="P122" s="374"/>
      <c r="Q122" s="374"/>
      <c r="R122" s="374"/>
      <c r="S122" s="374">
        <f>SUM(U116:V120)*1000</f>
        <v>0</v>
      </c>
      <c r="T122" s="374"/>
      <c r="U122" s="374"/>
      <c r="V122" s="374"/>
      <c r="W122" s="374">
        <f>SUM(Y116:Z120)*1000</f>
        <v>0</v>
      </c>
      <c r="X122" s="374"/>
      <c r="Y122" s="374"/>
      <c r="Z122" s="374"/>
    </row>
    <row r="123" spans="2:26" hidden="1">
      <c r="C123" s="194" t="s">
        <v>156</v>
      </c>
      <c r="D123" s="194"/>
      <c r="E123" s="194"/>
      <c r="F123" s="194"/>
      <c r="G123" s="194">
        <f>F121+J121+N121+R121+V121+Z121</f>
        <v>0</v>
      </c>
      <c r="H123" s="194"/>
      <c r="I123" s="194"/>
      <c r="J123" s="194"/>
      <c r="K123" s="194"/>
      <c r="L123" s="194"/>
      <c r="M123" s="194"/>
      <c r="N123" s="194"/>
      <c r="O123" s="194" t="s">
        <v>157</v>
      </c>
      <c r="P123" s="194"/>
      <c r="Q123" s="194"/>
      <c r="R123" s="194"/>
      <c r="S123" s="371">
        <f>C122+G122+K122+O122+S122+W122</f>
        <v>0</v>
      </c>
      <c r="T123" s="194"/>
      <c r="U123" s="194"/>
      <c r="V123" s="194"/>
      <c r="W123" s="194"/>
      <c r="X123" s="194"/>
      <c r="Y123" s="194"/>
      <c r="Z123" s="194"/>
    </row>
    <row r="124" spans="2:26" ht="15" customHeight="1"/>
    <row r="125" spans="2:26" ht="18" customHeight="1">
      <c r="B125" s="194"/>
      <c r="C125" s="365" t="s">
        <v>78</v>
      </c>
      <c r="D125" s="365"/>
      <c r="E125" s="365"/>
      <c r="F125" s="365"/>
      <c r="G125" s="365"/>
      <c r="H125" s="365"/>
      <c r="I125" s="365"/>
      <c r="J125" s="365"/>
      <c r="K125" s="365"/>
      <c r="L125" s="365"/>
      <c r="M125" s="365"/>
      <c r="N125" s="365"/>
      <c r="O125" s="365"/>
      <c r="P125" s="365"/>
      <c r="Q125" s="365"/>
      <c r="R125" s="365"/>
      <c r="S125" s="365"/>
      <c r="T125" s="365"/>
      <c r="U125" s="365"/>
      <c r="V125" s="365"/>
      <c r="W125" s="362" t="s">
        <v>35</v>
      </c>
      <c r="X125" s="363"/>
      <c r="Y125" s="363"/>
      <c r="Z125" s="364"/>
    </row>
    <row r="126" spans="2:26" ht="15.4" customHeight="1">
      <c r="B126" s="194"/>
      <c r="C126" s="194" t="s">
        <v>34</v>
      </c>
      <c r="D126" s="194"/>
      <c r="E126" s="194" t="s">
        <v>14</v>
      </c>
      <c r="F126" s="194"/>
      <c r="G126" s="194" t="s">
        <v>34</v>
      </c>
      <c r="H126" s="194"/>
      <c r="I126" s="194" t="s">
        <v>14</v>
      </c>
      <c r="J126" s="194"/>
      <c r="K126" s="194" t="s">
        <v>34</v>
      </c>
      <c r="L126" s="194"/>
      <c r="M126" s="194" t="s">
        <v>14</v>
      </c>
      <c r="N126" s="194"/>
      <c r="O126" s="194" t="s">
        <v>34</v>
      </c>
      <c r="P126" s="194"/>
      <c r="Q126" s="194" t="s">
        <v>14</v>
      </c>
      <c r="R126" s="194"/>
      <c r="S126" s="194" t="s">
        <v>34</v>
      </c>
      <c r="T126" s="194"/>
      <c r="U126" s="194" t="s">
        <v>14</v>
      </c>
      <c r="V126" s="194"/>
      <c r="W126" s="194" t="s">
        <v>34</v>
      </c>
      <c r="X126" s="194"/>
      <c r="Y126" s="194" t="s">
        <v>14</v>
      </c>
      <c r="Z126" s="194"/>
    </row>
    <row r="127" spans="2:26" ht="13.9" customHeight="1">
      <c r="B127" s="8">
        <v>1</v>
      </c>
      <c r="C127" s="290"/>
      <c r="D127" s="290"/>
      <c r="E127" s="291"/>
      <c r="F127" s="291"/>
      <c r="G127" s="290"/>
      <c r="H127" s="290"/>
      <c r="I127" s="291"/>
      <c r="J127" s="291"/>
      <c r="K127" s="290"/>
      <c r="L127" s="290"/>
      <c r="M127" s="291"/>
      <c r="N127" s="291"/>
      <c r="O127" s="290"/>
      <c r="P127" s="290"/>
      <c r="Q127" s="291"/>
      <c r="R127" s="291"/>
      <c r="S127" s="290"/>
      <c r="T127" s="290"/>
      <c r="U127" s="291"/>
      <c r="V127" s="291"/>
      <c r="W127" s="290"/>
      <c r="X127" s="290"/>
      <c r="Y127" s="291"/>
      <c r="Z127" s="291"/>
    </row>
    <row r="128" spans="2:26" ht="13.9" customHeight="1">
      <c r="B128" s="8">
        <v>2</v>
      </c>
      <c r="C128" s="290"/>
      <c r="D128" s="290"/>
      <c r="E128" s="291"/>
      <c r="F128" s="291"/>
      <c r="G128" s="290"/>
      <c r="H128" s="290"/>
      <c r="I128" s="291"/>
      <c r="J128" s="291"/>
      <c r="K128" s="290"/>
      <c r="L128" s="290"/>
      <c r="M128" s="291"/>
      <c r="N128" s="291"/>
      <c r="O128" s="290"/>
      <c r="P128" s="290"/>
      <c r="Q128" s="291"/>
      <c r="R128" s="291"/>
      <c r="S128" s="290"/>
      <c r="T128" s="290"/>
      <c r="U128" s="291"/>
      <c r="V128" s="291"/>
      <c r="W128" s="290"/>
      <c r="X128" s="290"/>
      <c r="Y128" s="291"/>
      <c r="Z128" s="291"/>
    </row>
    <row r="129" spans="2:26" ht="13.9" customHeight="1">
      <c r="B129" s="8">
        <v>3</v>
      </c>
      <c r="C129" s="290"/>
      <c r="D129" s="290"/>
      <c r="E129" s="291"/>
      <c r="F129" s="291"/>
      <c r="G129" s="290"/>
      <c r="H129" s="290"/>
      <c r="I129" s="291"/>
      <c r="J129" s="291"/>
      <c r="K129" s="290"/>
      <c r="L129" s="290"/>
      <c r="M129" s="291"/>
      <c r="N129" s="291"/>
      <c r="O129" s="290"/>
      <c r="P129" s="290"/>
      <c r="Q129" s="291"/>
      <c r="R129" s="291"/>
      <c r="S129" s="290"/>
      <c r="T129" s="290"/>
      <c r="U129" s="291"/>
      <c r="V129" s="291"/>
      <c r="W129" s="290"/>
      <c r="X129" s="290"/>
      <c r="Y129" s="291"/>
      <c r="Z129" s="291"/>
    </row>
    <row r="130" spans="2:26" ht="13.9" customHeight="1">
      <c r="B130" s="8">
        <v>4</v>
      </c>
      <c r="C130" s="290"/>
      <c r="D130" s="290"/>
      <c r="E130" s="291"/>
      <c r="F130" s="291"/>
      <c r="G130" s="290"/>
      <c r="H130" s="290"/>
      <c r="I130" s="291"/>
      <c r="J130" s="291"/>
      <c r="K130" s="290"/>
      <c r="L130" s="290"/>
      <c r="M130" s="291"/>
      <c r="N130" s="291"/>
      <c r="O130" s="290"/>
      <c r="P130" s="290"/>
      <c r="Q130" s="291"/>
      <c r="R130" s="291"/>
      <c r="S130" s="290"/>
      <c r="T130" s="290"/>
      <c r="U130" s="291"/>
      <c r="V130" s="291"/>
      <c r="W130" s="290"/>
      <c r="X130" s="290"/>
      <c r="Y130" s="291"/>
      <c r="Z130" s="291"/>
    </row>
    <row r="131" spans="2:26" ht="13.9" customHeight="1">
      <c r="B131" s="8">
        <v>5</v>
      </c>
      <c r="C131" s="290"/>
      <c r="D131" s="290"/>
      <c r="E131" s="291"/>
      <c r="F131" s="291"/>
      <c r="G131" s="290"/>
      <c r="H131" s="290"/>
      <c r="I131" s="291"/>
      <c r="J131" s="291"/>
      <c r="K131" s="290"/>
      <c r="L131" s="290"/>
      <c r="M131" s="291"/>
      <c r="N131" s="291"/>
      <c r="O131" s="290"/>
      <c r="P131" s="290"/>
      <c r="Q131" s="291"/>
      <c r="R131" s="291"/>
      <c r="S131" s="290"/>
      <c r="T131" s="290"/>
      <c r="U131" s="291"/>
      <c r="V131" s="291"/>
      <c r="W131" s="290"/>
      <c r="X131" s="290"/>
      <c r="Y131" s="291"/>
      <c r="Z131" s="291"/>
    </row>
    <row r="132" spans="2:26" hidden="1">
      <c r="F132" s="4">
        <f>COUNTIF(E127:F131,"&gt;0")</f>
        <v>0</v>
      </c>
      <c r="J132" s="4">
        <f>COUNTIF(I127:J131,"&gt;0")</f>
        <v>0</v>
      </c>
      <c r="N132" s="4">
        <f>COUNTIF(M127:N131,"&gt;0")</f>
        <v>0</v>
      </c>
      <c r="R132" s="4">
        <f>COUNTIF(Q127:R131,"&gt;0")</f>
        <v>0</v>
      </c>
      <c r="V132" s="4">
        <f>COUNTIF(U127:V131,"&gt;0")</f>
        <v>0</v>
      </c>
      <c r="Z132" s="4">
        <f>COUNTIF(Y127:Z131,"&gt;0")</f>
        <v>0</v>
      </c>
    </row>
    <row r="133" spans="2:26" ht="16.5" hidden="1" customHeight="1">
      <c r="C133" s="374">
        <f>SUM(E127:F131)*1000</f>
        <v>0</v>
      </c>
      <c r="D133" s="374"/>
      <c r="E133" s="374"/>
      <c r="F133" s="374"/>
      <c r="G133" s="374">
        <f>SUM(I127:J131)*1000</f>
        <v>0</v>
      </c>
      <c r="H133" s="374"/>
      <c r="I133" s="374"/>
      <c r="J133" s="374"/>
      <c r="K133" s="374">
        <f>SUM(M127:N131)*1000</f>
        <v>0</v>
      </c>
      <c r="L133" s="374"/>
      <c r="M133" s="374"/>
      <c r="N133" s="374"/>
      <c r="O133" s="374">
        <f>SUM(Q127:R131)*1000</f>
        <v>0</v>
      </c>
      <c r="P133" s="374"/>
      <c r="Q133" s="374"/>
      <c r="R133" s="374"/>
      <c r="S133" s="374">
        <f>SUM(U127:V131)*1000</f>
        <v>0</v>
      </c>
      <c r="T133" s="374"/>
      <c r="U133" s="374"/>
      <c r="V133" s="374"/>
      <c r="W133" s="374">
        <f>SUM(Y127:Z131)*1000</f>
        <v>0</v>
      </c>
      <c r="X133" s="374"/>
      <c r="Y133" s="374"/>
      <c r="Z133" s="374"/>
    </row>
    <row r="134" spans="2:26" hidden="1">
      <c r="C134" s="194" t="s">
        <v>156</v>
      </c>
      <c r="D134" s="194"/>
      <c r="E134" s="194"/>
      <c r="F134" s="194"/>
      <c r="G134" s="194">
        <f>F132+J132+N132+R132+V132+Z132</f>
        <v>0</v>
      </c>
      <c r="H134" s="194"/>
      <c r="I134" s="194"/>
      <c r="J134" s="194"/>
      <c r="K134" s="194"/>
      <c r="L134" s="194"/>
      <c r="M134" s="194"/>
      <c r="N134" s="194"/>
      <c r="O134" s="194" t="s">
        <v>157</v>
      </c>
      <c r="P134" s="194"/>
      <c r="Q134" s="194"/>
      <c r="R134" s="194"/>
      <c r="S134" s="371">
        <f>C133+G133+K133+O133+S133+W133</f>
        <v>0</v>
      </c>
      <c r="T134" s="194"/>
      <c r="U134" s="194"/>
      <c r="V134" s="194"/>
      <c r="W134" s="194"/>
      <c r="X134" s="194"/>
      <c r="Y134" s="194"/>
      <c r="Z134" s="194"/>
    </row>
    <row r="135" spans="2:26" ht="15.4" customHeight="1"/>
    <row r="136" spans="2:26" ht="18" customHeight="1">
      <c r="B136" s="375" t="s">
        <v>79</v>
      </c>
      <c r="C136" s="376"/>
      <c r="D136" s="377"/>
      <c r="E136" s="365" t="s">
        <v>80</v>
      </c>
      <c r="F136" s="365"/>
      <c r="G136" s="365"/>
      <c r="H136" s="365"/>
      <c r="I136" s="365"/>
      <c r="J136" s="365"/>
      <c r="K136" s="365"/>
      <c r="L136" s="365"/>
      <c r="M136" s="365"/>
      <c r="N136" s="365"/>
      <c r="O136" s="365"/>
      <c r="P136" s="365"/>
      <c r="Q136" s="365"/>
      <c r="R136" s="365"/>
      <c r="S136" s="365"/>
      <c r="T136" s="365"/>
      <c r="U136" s="365"/>
      <c r="V136" s="365"/>
      <c r="W136" s="363" t="s">
        <v>35</v>
      </c>
      <c r="X136" s="363"/>
      <c r="Y136" s="363"/>
      <c r="Z136" s="364"/>
    </row>
    <row r="137" spans="2:26" ht="15.4" customHeight="1">
      <c r="B137" s="378"/>
      <c r="C137" s="379"/>
      <c r="D137" s="380"/>
      <c r="E137" s="381" t="s">
        <v>81</v>
      </c>
      <c r="F137" s="381"/>
      <c r="G137" s="381"/>
      <c r="H137" s="381" t="s">
        <v>82</v>
      </c>
      <c r="I137" s="381"/>
      <c r="J137" s="381"/>
      <c r="K137" s="381" t="s">
        <v>181</v>
      </c>
      <c r="L137" s="381"/>
      <c r="M137" s="381"/>
      <c r="N137" s="381" t="s">
        <v>83</v>
      </c>
      <c r="O137" s="381"/>
      <c r="P137" s="381"/>
      <c r="Q137" s="381" t="s">
        <v>123</v>
      </c>
      <c r="R137" s="381"/>
      <c r="S137" s="381"/>
      <c r="T137" s="381" t="s">
        <v>84</v>
      </c>
      <c r="U137" s="381"/>
      <c r="V137" s="381"/>
      <c r="W137" s="363" t="s">
        <v>85</v>
      </c>
      <c r="X137" s="363"/>
      <c r="Y137" s="363"/>
      <c r="Z137" s="364"/>
    </row>
    <row r="138" spans="2:26" ht="15.4" customHeight="1">
      <c r="B138" s="291"/>
      <c r="C138" s="291"/>
      <c r="D138" s="291"/>
      <c r="E138" s="291"/>
      <c r="F138" s="291"/>
      <c r="G138" s="291"/>
      <c r="H138" s="291"/>
      <c r="I138" s="291"/>
      <c r="J138" s="291"/>
      <c r="K138" s="291"/>
      <c r="L138" s="291"/>
      <c r="M138" s="291"/>
      <c r="N138" s="291"/>
      <c r="O138" s="291"/>
      <c r="P138" s="291"/>
      <c r="Q138" s="291"/>
      <c r="R138" s="291"/>
      <c r="S138" s="291"/>
      <c r="T138" s="291"/>
      <c r="U138" s="291"/>
      <c r="V138" s="291"/>
      <c r="W138" s="374">
        <f>SUM(E138:V138)</f>
        <v>0</v>
      </c>
      <c r="X138" s="374"/>
      <c r="Y138" s="374"/>
      <c r="Z138" s="374"/>
    </row>
    <row r="139" spans="2:26" ht="15.4" customHeight="1">
      <c r="E139" s="13"/>
    </row>
    <row r="140" spans="2:26" ht="18" customHeight="1">
      <c r="B140" s="4"/>
      <c r="C140" s="365" t="s">
        <v>86</v>
      </c>
      <c r="D140" s="365"/>
      <c r="E140" s="365"/>
      <c r="F140" s="365"/>
      <c r="G140" s="365"/>
      <c r="H140" s="365"/>
      <c r="I140" s="365"/>
      <c r="J140" s="365"/>
      <c r="K140" s="365"/>
      <c r="L140" s="365"/>
      <c r="M140" s="365"/>
      <c r="N140" s="365"/>
      <c r="O140" s="365"/>
      <c r="P140" s="365"/>
      <c r="Q140" s="365"/>
      <c r="R140" s="365"/>
      <c r="S140" s="365"/>
      <c r="T140" s="365"/>
      <c r="U140" s="365"/>
      <c r="V140" s="365"/>
      <c r="W140" s="370" t="s">
        <v>74</v>
      </c>
      <c r="X140" s="370"/>
      <c r="Y140" s="370"/>
      <c r="Z140" s="370"/>
    </row>
    <row r="141" spans="2:26" ht="15.4" customHeight="1">
      <c r="B141" s="197" t="s">
        <v>49</v>
      </c>
      <c r="C141" s="194" t="s">
        <v>75</v>
      </c>
      <c r="D141" s="194"/>
      <c r="E141" s="194"/>
      <c r="F141" s="194"/>
      <c r="G141" s="194"/>
      <c r="H141" s="194"/>
      <c r="I141" s="194"/>
      <c r="J141" s="194"/>
      <c r="K141" s="194"/>
      <c r="L141" s="194"/>
      <c r="M141" s="194"/>
      <c r="N141" s="194"/>
      <c r="O141" s="366" t="s">
        <v>76</v>
      </c>
      <c r="P141" s="366"/>
      <c r="Q141" s="366"/>
      <c r="R141" s="366"/>
      <c r="S141" s="366"/>
      <c r="T141" s="366"/>
      <c r="U141" s="366"/>
      <c r="V141" s="366"/>
      <c r="W141" s="366"/>
      <c r="X141" s="366"/>
      <c r="Y141" s="366"/>
      <c r="Z141" s="366"/>
    </row>
    <row r="142" spans="2:26" ht="15.4" customHeight="1">
      <c r="B142" s="197"/>
      <c r="C142" s="367"/>
      <c r="D142" s="368"/>
      <c r="E142" s="368"/>
      <c r="F142" s="368"/>
      <c r="G142" s="368"/>
      <c r="H142" s="368"/>
      <c r="I142" s="368"/>
      <c r="J142" s="368"/>
      <c r="K142" s="368"/>
      <c r="L142" s="368"/>
      <c r="M142" s="368"/>
      <c r="N142" s="369"/>
      <c r="O142" s="359"/>
      <c r="P142" s="360"/>
      <c r="Q142" s="360"/>
      <c r="R142" s="360"/>
      <c r="S142" s="360"/>
      <c r="T142" s="360"/>
      <c r="U142" s="360"/>
      <c r="V142" s="360"/>
      <c r="W142" s="360"/>
      <c r="X142" s="360"/>
      <c r="Y142" s="360"/>
      <c r="Z142" s="361"/>
    </row>
    <row r="143" spans="2:26" ht="15.4" customHeight="1"/>
    <row r="144" spans="2:26" ht="18" customHeight="1">
      <c r="B144" s="382"/>
      <c r="C144" s="365" t="s">
        <v>113</v>
      </c>
      <c r="D144" s="365"/>
      <c r="E144" s="365"/>
      <c r="F144" s="365"/>
      <c r="G144" s="365"/>
      <c r="H144" s="365"/>
      <c r="I144" s="365"/>
      <c r="J144" s="365"/>
      <c r="K144" s="365"/>
      <c r="L144" s="365"/>
      <c r="M144" s="365"/>
      <c r="N144" s="365"/>
      <c r="O144" s="365"/>
      <c r="P144" s="365"/>
      <c r="Q144" s="365"/>
      <c r="R144" s="365"/>
      <c r="S144" s="365"/>
      <c r="T144" s="365"/>
      <c r="U144" s="365"/>
      <c r="V144" s="384"/>
      <c r="W144" s="370" t="s">
        <v>74</v>
      </c>
      <c r="X144" s="370"/>
      <c r="Y144" s="370"/>
      <c r="Z144" s="370"/>
    </row>
    <row r="145" spans="2:26" ht="15.4" customHeight="1">
      <c r="B145" s="383"/>
      <c r="C145" s="219" t="s">
        <v>87</v>
      </c>
      <c r="D145" s="220"/>
      <c r="E145" s="220"/>
      <c r="F145" s="221"/>
      <c r="G145" s="219" t="s">
        <v>88</v>
      </c>
      <c r="H145" s="220"/>
      <c r="I145" s="220"/>
      <c r="J145" s="221"/>
      <c r="K145" s="219" t="s">
        <v>14</v>
      </c>
      <c r="L145" s="220"/>
      <c r="M145" s="220"/>
      <c r="N145" s="221"/>
      <c r="O145" s="219" t="s">
        <v>89</v>
      </c>
      <c r="P145" s="220"/>
      <c r="Q145" s="220"/>
      <c r="R145" s="221"/>
      <c r="S145" s="219" t="s">
        <v>88</v>
      </c>
      <c r="T145" s="220"/>
      <c r="U145" s="220"/>
      <c r="V145" s="220"/>
      <c r="W145" s="194" t="s">
        <v>73</v>
      </c>
      <c r="X145" s="194"/>
      <c r="Y145" s="194"/>
      <c r="Z145" s="194"/>
    </row>
    <row r="146" spans="2:26" ht="13.15" customHeight="1">
      <c r="B146" s="8">
        <v>1</v>
      </c>
      <c r="C146" s="295"/>
      <c r="D146" s="296"/>
      <c r="E146" s="296"/>
      <c r="F146" s="296"/>
      <c r="G146" s="295"/>
      <c r="H146" s="296"/>
      <c r="I146" s="296"/>
      <c r="J146" s="296"/>
      <c r="K146" s="297"/>
      <c r="L146" s="298"/>
      <c r="M146" s="298"/>
      <c r="N146" s="298"/>
      <c r="O146" s="295"/>
      <c r="P146" s="296"/>
      <c r="Q146" s="296"/>
      <c r="R146" s="296"/>
      <c r="S146" s="295"/>
      <c r="T146" s="296"/>
      <c r="U146" s="296"/>
      <c r="V146" s="296"/>
      <c r="W146" s="291"/>
      <c r="X146" s="291"/>
      <c r="Y146" s="291"/>
      <c r="Z146" s="291"/>
    </row>
    <row r="147" spans="2:26" ht="13.15" customHeight="1">
      <c r="B147" s="8">
        <v>2</v>
      </c>
      <c r="C147" s="295"/>
      <c r="D147" s="296"/>
      <c r="E147" s="296"/>
      <c r="F147" s="296"/>
      <c r="G147" s="295"/>
      <c r="H147" s="296"/>
      <c r="I147" s="296"/>
      <c r="J147" s="296"/>
      <c r="K147" s="297"/>
      <c r="L147" s="298"/>
      <c r="M147" s="298"/>
      <c r="N147" s="298"/>
      <c r="O147" s="295"/>
      <c r="P147" s="296"/>
      <c r="Q147" s="296"/>
      <c r="R147" s="296"/>
      <c r="S147" s="295"/>
      <c r="T147" s="296"/>
      <c r="U147" s="296"/>
      <c r="V147" s="296"/>
      <c r="W147" s="291"/>
      <c r="X147" s="291"/>
      <c r="Y147" s="291"/>
      <c r="Z147" s="291"/>
    </row>
    <row r="148" spans="2:26" ht="13.15" customHeight="1">
      <c r="B148" s="8">
        <v>3</v>
      </c>
      <c r="C148" s="295"/>
      <c r="D148" s="296"/>
      <c r="E148" s="296"/>
      <c r="F148" s="296"/>
      <c r="G148" s="295"/>
      <c r="H148" s="296"/>
      <c r="I148" s="296"/>
      <c r="J148" s="296"/>
      <c r="K148" s="297"/>
      <c r="L148" s="298"/>
      <c r="M148" s="298"/>
      <c r="N148" s="298"/>
      <c r="O148" s="295"/>
      <c r="P148" s="296"/>
      <c r="Q148" s="296"/>
      <c r="R148" s="296"/>
      <c r="S148" s="295"/>
      <c r="T148" s="296"/>
      <c r="U148" s="296"/>
      <c r="V148" s="296"/>
      <c r="W148" s="291"/>
      <c r="X148" s="291"/>
      <c r="Y148" s="291"/>
      <c r="Z148" s="291"/>
    </row>
    <row r="149" spans="2:26" ht="13.15" customHeight="1">
      <c r="B149" s="76">
        <v>4</v>
      </c>
      <c r="C149" s="295"/>
      <c r="D149" s="296"/>
      <c r="E149" s="296"/>
      <c r="F149" s="296"/>
      <c r="G149" s="295"/>
      <c r="H149" s="296"/>
      <c r="I149" s="296"/>
      <c r="J149" s="296"/>
      <c r="K149" s="297"/>
      <c r="L149" s="298"/>
      <c r="M149" s="298"/>
      <c r="N149" s="298"/>
      <c r="O149" s="295"/>
      <c r="P149" s="296"/>
      <c r="Q149" s="296"/>
      <c r="R149" s="296"/>
      <c r="S149" s="295"/>
      <c r="T149" s="296"/>
      <c r="U149" s="296"/>
      <c r="V149" s="296"/>
      <c r="W149" s="291"/>
      <c r="X149" s="291"/>
      <c r="Y149" s="291"/>
      <c r="Z149" s="291"/>
    </row>
    <row r="150" spans="2:26" ht="13.15" customHeight="1">
      <c r="B150" s="76">
        <v>5</v>
      </c>
      <c r="C150" s="295"/>
      <c r="D150" s="296"/>
      <c r="E150" s="296"/>
      <c r="F150" s="296"/>
      <c r="G150" s="295"/>
      <c r="H150" s="296"/>
      <c r="I150" s="296"/>
      <c r="J150" s="296"/>
      <c r="K150" s="297"/>
      <c r="L150" s="298"/>
      <c r="M150" s="298"/>
      <c r="N150" s="298"/>
      <c r="O150" s="295"/>
      <c r="P150" s="296"/>
      <c r="Q150" s="296"/>
      <c r="R150" s="296"/>
      <c r="S150" s="295"/>
      <c r="T150" s="296"/>
      <c r="U150" s="296"/>
      <c r="V150" s="296"/>
      <c r="W150" s="291"/>
      <c r="X150" s="291"/>
      <c r="Y150" s="291"/>
      <c r="Z150" s="291"/>
    </row>
    <row r="151" spans="2:26" ht="13.15" customHeight="1">
      <c r="B151" s="76">
        <v>6</v>
      </c>
      <c r="C151" s="295"/>
      <c r="D151" s="296"/>
      <c r="E151" s="296"/>
      <c r="F151" s="296"/>
      <c r="G151" s="295"/>
      <c r="H151" s="296"/>
      <c r="I151" s="296"/>
      <c r="J151" s="296"/>
      <c r="K151" s="297"/>
      <c r="L151" s="298"/>
      <c r="M151" s="298"/>
      <c r="N151" s="298"/>
      <c r="O151" s="295"/>
      <c r="P151" s="296"/>
      <c r="Q151" s="296"/>
      <c r="R151" s="296"/>
      <c r="S151" s="295"/>
      <c r="T151" s="296"/>
      <c r="U151" s="296"/>
      <c r="V151" s="296"/>
      <c r="W151" s="291"/>
      <c r="X151" s="291"/>
      <c r="Y151" s="291"/>
      <c r="Z151" s="291"/>
    </row>
    <row r="152" spans="2:26" ht="13.15" customHeight="1">
      <c r="B152" s="8">
        <v>7</v>
      </c>
      <c r="C152" s="295"/>
      <c r="D152" s="296"/>
      <c r="E152" s="296"/>
      <c r="F152" s="296"/>
      <c r="G152" s="295"/>
      <c r="H152" s="296"/>
      <c r="I152" s="296"/>
      <c r="J152" s="296"/>
      <c r="K152" s="297"/>
      <c r="L152" s="298"/>
      <c r="M152" s="298"/>
      <c r="N152" s="298"/>
      <c r="O152" s="295"/>
      <c r="P152" s="296"/>
      <c r="Q152" s="296"/>
      <c r="R152" s="296"/>
      <c r="S152" s="295"/>
      <c r="T152" s="296"/>
      <c r="U152" s="296"/>
      <c r="V152" s="296"/>
      <c r="W152" s="291"/>
      <c r="X152" s="291"/>
      <c r="Y152" s="291"/>
      <c r="Z152" s="291"/>
    </row>
    <row r="153" spans="2:26" ht="13.15" customHeight="1">
      <c r="B153" s="8">
        <v>8</v>
      </c>
      <c r="C153" s="295"/>
      <c r="D153" s="296"/>
      <c r="E153" s="296"/>
      <c r="F153" s="296"/>
      <c r="G153" s="295"/>
      <c r="H153" s="296"/>
      <c r="I153" s="296"/>
      <c r="J153" s="296"/>
      <c r="K153" s="297"/>
      <c r="L153" s="298"/>
      <c r="M153" s="298"/>
      <c r="N153" s="298"/>
      <c r="O153" s="295"/>
      <c r="P153" s="296"/>
      <c r="Q153" s="296"/>
      <c r="R153" s="296"/>
      <c r="S153" s="295"/>
      <c r="T153" s="296"/>
      <c r="U153" s="296"/>
      <c r="V153" s="296"/>
      <c r="W153" s="291"/>
      <c r="X153" s="291"/>
      <c r="Y153" s="291"/>
      <c r="Z153" s="291"/>
    </row>
    <row r="154" spans="2:26" ht="13.15" customHeight="1">
      <c r="B154" s="24">
        <v>9</v>
      </c>
      <c r="C154" s="295"/>
      <c r="D154" s="296"/>
      <c r="E154" s="296"/>
      <c r="F154" s="296"/>
      <c r="G154" s="295"/>
      <c r="H154" s="296"/>
      <c r="I154" s="296"/>
      <c r="J154" s="296"/>
      <c r="K154" s="297"/>
      <c r="L154" s="298"/>
      <c r="M154" s="298"/>
      <c r="N154" s="298"/>
      <c r="O154" s="295"/>
      <c r="P154" s="296"/>
      <c r="Q154" s="296"/>
      <c r="R154" s="296"/>
      <c r="S154" s="295"/>
      <c r="T154" s="296"/>
      <c r="U154" s="296"/>
      <c r="V154" s="296"/>
      <c r="W154" s="392"/>
      <c r="X154" s="392"/>
      <c r="Y154" s="392"/>
      <c r="Z154" s="392"/>
    </row>
    <row r="155" spans="2:26" ht="13.15" customHeight="1">
      <c r="B155" s="21">
        <v>10</v>
      </c>
      <c r="C155" s="290"/>
      <c r="D155" s="290"/>
      <c r="E155" s="290"/>
      <c r="F155" s="290"/>
      <c r="G155" s="290"/>
      <c r="H155" s="290"/>
      <c r="I155" s="290"/>
      <c r="J155" s="290"/>
      <c r="K155" s="291"/>
      <c r="L155" s="291"/>
      <c r="M155" s="291"/>
      <c r="N155" s="291"/>
      <c r="O155" s="290"/>
      <c r="P155" s="290"/>
      <c r="Q155" s="290"/>
      <c r="R155" s="290"/>
      <c r="S155" s="290"/>
      <c r="T155" s="290"/>
      <c r="U155" s="290"/>
      <c r="V155" s="391"/>
      <c r="W155" s="291"/>
      <c r="X155" s="291"/>
      <c r="Y155" s="291"/>
      <c r="Z155" s="291"/>
    </row>
    <row r="156" spans="2:26" hidden="1">
      <c r="F156" s="4"/>
      <c r="J156" s="4"/>
      <c r="N156" s="4">
        <f>COUNTIF(K146:N155,"&gt;0")</f>
        <v>0</v>
      </c>
      <c r="R156" s="4"/>
      <c r="V156" s="4"/>
      <c r="Z156" s="4">
        <f>COUNTIF(W146:Z155,"&gt;0")</f>
        <v>0</v>
      </c>
    </row>
    <row r="157" spans="2:26" ht="16.5" hidden="1" customHeight="1">
      <c r="C157" s="374"/>
      <c r="D157" s="374"/>
      <c r="E157" s="374"/>
      <c r="F157" s="374"/>
      <c r="G157" s="374"/>
      <c r="H157" s="374"/>
      <c r="I157" s="374"/>
      <c r="J157" s="374"/>
      <c r="K157" s="374">
        <f>SUM(K146:N155)*1000</f>
        <v>0</v>
      </c>
      <c r="L157" s="374"/>
      <c r="M157" s="374"/>
      <c r="N157" s="374"/>
      <c r="O157" s="374"/>
      <c r="P157" s="374"/>
      <c r="Q157" s="374"/>
      <c r="R157" s="374"/>
      <c r="S157" s="374"/>
      <c r="T157" s="374"/>
      <c r="U157" s="374"/>
      <c r="V157" s="374"/>
      <c r="W157" s="374">
        <f>SUM(W146:Z155)*1000</f>
        <v>0</v>
      </c>
      <c r="X157" s="374"/>
      <c r="Y157" s="374"/>
      <c r="Z157" s="374"/>
    </row>
    <row r="158" spans="2:26" hidden="1">
      <c r="C158" s="194" t="s">
        <v>156</v>
      </c>
      <c r="D158" s="194"/>
      <c r="E158" s="194"/>
      <c r="F158" s="194"/>
      <c r="G158" s="194">
        <f>N156+Z156</f>
        <v>0</v>
      </c>
      <c r="H158" s="194"/>
      <c r="I158" s="194"/>
      <c r="J158" s="194"/>
      <c r="K158" s="194"/>
      <c r="L158" s="194"/>
      <c r="M158" s="194"/>
      <c r="N158" s="194"/>
      <c r="O158" s="194" t="s">
        <v>157</v>
      </c>
      <c r="P158" s="194"/>
      <c r="Q158" s="194"/>
      <c r="R158" s="194"/>
      <c r="S158" s="371">
        <f>K157+W157</f>
        <v>0</v>
      </c>
      <c r="T158" s="194"/>
      <c r="U158" s="194"/>
      <c r="V158" s="194"/>
      <c r="W158" s="194"/>
      <c r="X158" s="194"/>
      <c r="Y158" s="194"/>
      <c r="Z158" s="194"/>
    </row>
    <row r="160" spans="2:26" ht="22.5">
      <c r="B160" s="15"/>
      <c r="C160" s="15"/>
      <c r="D160" s="15"/>
      <c r="E160" s="15"/>
      <c r="F160" s="15"/>
      <c r="G160" s="15"/>
      <c r="H160" s="385" t="s">
        <v>124</v>
      </c>
      <c r="I160" s="385"/>
      <c r="J160" s="385"/>
      <c r="K160" s="385"/>
      <c r="L160" s="385"/>
      <c r="M160" s="385"/>
      <c r="N160" s="385"/>
      <c r="O160" s="385"/>
      <c r="P160" s="385"/>
      <c r="Q160" s="385"/>
      <c r="R160" s="385"/>
      <c r="S160" s="385"/>
      <c r="T160" s="385"/>
      <c r="V160" s="356" t="str">
        <f>'지우지마세요!'!C3&amp;"년 "&amp;'지우지마세요!'!E3&amp;"월 "&amp;'지우지마세요!'!G3&amp;"일"</f>
        <v>2017년 3월 5일</v>
      </c>
      <c r="W160" s="357"/>
      <c r="X160" s="357"/>
      <c r="Y160" s="358"/>
    </row>
    <row r="161" spans="2:26" ht="9" customHeight="1">
      <c r="B161" s="12"/>
      <c r="C161" s="12"/>
      <c r="D161" s="12"/>
      <c r="E161" s="12"/>
      <c r="F161" s="12"/>
      <c r="G161" s="12"/>
      <c r="H161" s="12"/>
      <c r="I161" s="12"/>
      <c r="J161" s="12"/>
      <c r="K161" s="12"/>
      <c r="L161" s="12"/>
      <c r="M161" s="12"/>
      <c r="N161" s="12"/>
      <c r="O161" s="12"/>
      <c r="P161" s="12"/>
      <c r="Q161" s="12"/>
      <c r="R161" s="12"/>
      <c r="S161" s="12"/>
      <c r="T161" s="12"/>
      <c r="U161" s="13"/>
      <c r="V161" s="3"/>
      <c r="W161" s="3"/>
      <c r="X161" s="3"/>
      <c r="Y161" s="3"/>
      <c r="Z161" s="13"/>
    </row>
    <row r="162" spans="2:26" ht="16.149999999999999" customHeight="1">
      <c r="B162" s="194"/>
      <c r="C162" s="386" t="s">
        <v>90</v>
      </c>
      <c r="D162" s="386"/>
      <c r="E162" s="386"/>
      <c r="F162" s="386"/>
      <c r="G162" s="386"/>
      <c r="H162" s="386"/>
      <c r="I162" s="386"/>
      <c r="J162" s="386"/>
      <c r="K162" s="386"/>
      <c r="L162" s="386"/>
      <c r="M162" s="386"/>
      <c r="N162" s="386"/>
      <c r="O162" s="386"/>
      <c r="P162" s="386"/>
      <c r="Q162" s="386"/>
      <c r="R162" s="386"/>
      <c r="S162" s="386"/>
      <c r="T162" s="386"/>
      <c r="U162" s="386"/>
      <c r="V162" s="386"/>
      <c r="W162" s="370" t="s">
        <v>74</v>
      </c>
      <c r="X162" s="370"/>
      <c r="Y162" s="370"/>
      <c r="Z162" s="370"/>
    </row>
    <row r="163" spans="2:26" ht="13.15" customHeight="1">
      <c r="B163" s="194"/>
      <c r="C163" s="194" t="s">
        <v>34</v>
      </c>
      <c r="D163" s="194"/>
      <c r="E163" s="194" t="s">
        <v>186</v>
      </c>
      <c r="F163" s="194"/>
      <c r="G163" s="194" t="s">
        <v>187</v>
      </c>
      <c r="H163" s="194"/>
      <c r="I163" s="194" t="s">
        <v>34</v>
      </c>
      <c r="J163" s="194"/>
      <c r="K163" s="194" t="s">
        <v>186</v>
      </c>
      <c r="L163" s="194"/>
      <c r="M163" s="194" t="s">
        <v>187</v>
      </c>
      <c r="N163" s="194"/>
      <c r="O163" s="194" t="s">
        <v>34</v>
      </c>
      <c r="P163" s="194"/>
      <c r="Q163" s="194" t="s">
        <v>186</v>
      </c>
      <c r="R163" s="194"/>
      <c r="S163" s="194" t="s">
        <v>187</v>
      </c>
      <c r="T163" s="194"/>
      <c r="U163" s="194" t="s">
        <v>34</v>
      </c>
      <c r="V163" s="194"/>
      <c r="W163" s="194" t="s">
        <v>186</v>
      </c>
      <c r="X163" s="194"/>
      <c r="Y163" s="194" t="s">
        <v>187</v>
      </c>
      <c r="Z163" s="194"/>
    </row>
    <row r="164" spans="2:26" ht="13.15" customHeight="1">
      <c r="B164" s="8">
        <v>1</v>
      </c>
      <c r="C164" s="290"/>
      <c r="D164" s="290"/>
      <c r="E164" s="291"/>
      <c r="F164" s="291"/>
      <c r="G164" s="290"/>
      <c r="H164" s="290"/>
      <c r="I164" s="291"/>
      <c r="J164" s="291"/>
      <c r="K164" s="290"/>
      <c r="L164" s="290"/>
      <c r="M164" s="291"/>
      <c r="N164" s="291"/>
      <c r="O164" s="290"/>
      <c r="P164" s="290"/>
      <c r="Q164" s="291"/>
      <c r="R164" s="291"/>
      <c r="S164" s="290"/>
      <c r="T164" s="290"/>
      <c r="U164" s="291"/>
      <c r="V164" s="291"/>
      <c r="W164" s="290"/>
      <c r="X164" s="290"/>
      <c r="Y164" s="291"/>
      <c r="Z164" s="291"/>
    </row>
    <row r="165" spans="2:26" ht="13.15" customHeight="1">
      <c r="B165" s="8">
        <v>2</v>
      </c>
      <c r="C165" s="290"/>
      <c r="D165" s="290"/>
      <c r="E165" s="291"/>
      <c r="F165" s="291"/>
      <c r="G165" s="290"/>
      <c r="H165" s="290"/>
      <c r="I165" s="291"/>
      <c r="J165" s="291"/>
      <c r="K165" s="290"/>
      <c r="L165" s="290"/>
      <c r="M165" s="291"/>
      <c r="N165" s="291"/>
      <c r="O165" s="290"/>
      <c r="P165" s="290"/>
      <c r="Q165" s="291"/>
      <c r="R165" s="291"/>
      <c r="S165" s="290"/>
      <c r="T165" s="290"/>
      <c r="U165" s="291"/>
      <c r="V165" s="291"/>
      <c r="W165" s="290"/>
      <c r="X165" s="290"/>
      <c r="Y165" s="291"/>
      <c r="Z165" s="291"/>
    </row>
    <row r="166" spans="2:26" hidden="1">
      <c r="F166" s="80"/>
      <c r="H166" s="4">
        <f>COUNTIF(G164:H165,"&gt;0")</f>
        <v>0</v>
      </c>
      <c r="J166" s="80"/>
      <c r="N166" s="4">
        <f>COUNTIF(M164:N165,"&gt;0")</f>
        <v>0</v>
      </c>
      <c r="R166" s="80"/>
      <c r="T166" s="4">
        <f>COUNTIF(S164:T165,"&gt;0")</f>
        <v>0</v>
      </c>
      <c r="V166" s="80"/>
      <c r="Z166" s="4">
        <f>COUNTIF(Y164:Z165,"&gt;0")</f>
        <v>0</v>
      </c>
    </row>
    <row r="167" spans="2:26" ht="16.5" hidden="1" customHeight="1">
      <c r="C167" s="292">
        <f>SUM(G164:H165)*1000</f>
        <v>0</v>
      </c>
      <c r="D167" s="293"/>
      <c r="E167" s="293"/>
      <c r="F167" s="293"/>
      <c r="G167" s="293"/>
      <c r="H167" s="293"/>
      <c r="I167" s="292">
        <f>SUM(M164:N165)*1000</f>
        <v>0</v>
      </c>
      <c r="J167" s="293"/>
      <c r="K167" s="293"/>
      <c r="L167" s="293"/>
      <c r="M167" s="293"/>
      <c r="N167" s="294"/>
      <c r="O167" s="292">
        <f>SUM(S164:T165)*1000</f>
        <v>0</v>
      </c>
      <c r="P167" s="293"/>
      <c r="Q167" s="293"/>
      <c r="R167" s="293"/>
      <c r="S167" s="293"/>
      <c r="T167" s="293"/>
      <c r="U167" s="292">
        <f>SUM(Y164:Z165)*1000</f>
        <v>0</v>
      </c>
      <c r="V167" s="293"/>
      <c r="W167" s="293"/>
      <c r="X167" s="293"/>
      <c r="Y167" s="293"/>
      <c r="Z167" s="294"/>
    </row>
    <row r="168" spans="2:26" hidden="1">
      <c r="C168" s="194" t="s">
        <v>156</v>
      </c>
      <c r="D168" s="194"/>
      <c r="E168" s="194"/>
      <c r="F168" s="194"/>
      <c r="G168" s="194">
        <f>H166+N166+T166+Z166</f>
        <v>0</v>
      </c>
      <c r="H168" s="194"/>
      <c r="I168" s="194"/>
      <c r="J168" s="194"/>
      <c r="K168" s="194"/>
      <c r="L168" s="194"/>
      <c r="M168" s="194"/>
      <c r="N168" s="194"/>
      <c r="O168" s="194" t="s">
        <v>157</v>
      </c>
      <c r="P168" s="194"/>
      <c r="Q168" s="194"/>
      <c r="R168" s="194"/>
      <c r="S168" s="371">
        <f>C167+I167+O167+U167</f>
        <v>0</v>
      </c>
      <c r="T168" s="194"/>
      <c r="U168" s="194"/>
      <c r="V168" s="194"/>
      <c r="W168" s="194"/>
      <c r="X168" s="194"/>
      <c r="Y168" s="194"/>
      <c r="Z168" s="194"/>
    </row>
    <row r="169" spans="2:26" ht="9" customHeight="1">
      <c r="B169" s="9"/>
    </row>
    <row r="170" spans="2:26" ht="16.149999999999999" customHeight="1">
      <c r="B170" s="382"/>
      <c r="C170" s="386" t="s">
        <v>91</v>
      </c>
      <c r="D170" s="386"/>
      <c r="E170" s="386"/>
      <c r="F170" s="386"/>
      <c r="G170" s="386"/>
      <c r="H170" s="386"/>
      <c r="I170" s="386"/>
      <c r="J170" s="386"/>
      <c r="K170" s="386"/>
      <c r="L170" s="386"/>
      <c r="M170" s="386"/>
      <c r="N170" s="386"/>
      <c r="O170" s="386"/>
      <c r="P170" s="386"/>
      <c r="Q170" s="386"/>
      <c r="R170" s="386"/>
      <c r="S170" s="386"/>
      <c r="T170" s="386"/>
      <c r="U170" s="386"/>
      <c r="V170" s="386"/>
      <c r="W170" s="370" t="s">
        <v>74</v>
      </c>
      <c r="X170" s="370"/>
      <c r="Y170" s="370"/>
      <c r="Z170" s="370"/>
    </row>
    <row r="171" spans="2:26" ht="13.15" customHeight="1">
      <c r="B171" s="383"/>
      <c r="C171" s="194" t="s">
        <v>34</v>
      </c>
      <c r="D171" s="194"/>
      <c r="E171" s="194" t="s">
        <v>186</v>
      </c>
      <c r="F171" s="194"/>
      <c r="G171" s="194" t="s">
        <v>187</v>
      </c>
      <c r="H171" s="194"/>
      <c r="I171" s="194" t="s">
        <v>34</v>
      </c>
      <c r="J171" s="194"/>
      <c r="K171" s="194" t="s">
        <v>186</v>
      </c>
      <c r="L171" s="194"/>
      <c r="M171" s="194" t="s">
        <v>187</v>
      </c>
      <c r="N171" s="194"/>
      <c r="O171" s="194" t="s">
        <v>34</v>
      </c>
      <c r="P171" s="194"/>
      <c r="Q171" s="194" t="s">
        <v>186</v>
      </c>
      <c r="R171" s="194"/>
      <c r="S171" s="194" t="s">
        <v>187</v>
      </c>
      <c r="T171" s="194"/>
      <c r="U171" s="194" t="s">
        <v>34</v>
      </c>
      <c r="V171" s="194"/>
      <c r="W171" s="194" t="s">
        <v>186</v>
      </c>
      <c r="X171" s="194"/>
      <c r="Y171" s="194" t="s">
        <v>187</v>
      </c>
      <c r="Z171" s="194"/>
    </row>
    <row r="172" spans="2:26" ht="13.15" customHeight="1">
      <c r="B172" s="8">
        <v>1</v>
      </c>
      <c r="C172" s="290"/>
      <c r="D172" s="290"/>
      <c r="E172" s="291"/>
      <c r="F172" s="291"/>
      <c r="G172" s="290"/>
      <c r="H172" s="290"/>
      <c r="I172" s="291"/>
      <c r="J172" s="291"/>
      <c r="K172" s="290"/>
      <c r="L172" s="290"/>
      <c r="M172" s="291"/>
      <c r="N172" s="291"/>
      <c r="O172" s="290"/>
      <c r="P172" s="290"/>
      <c r="Q172" s="291"/>
      <c r="R172" s="291"/>
      <c r="S172" s="290"/>
      <c r="T172" s="290"/>
      <c r="U172" s="291"/>
      <c r="V172" s="291"/>
      <c r="W172" s="290"/>
      <c r="X172" s="290"/>
      <c r="Y172" s="291"/>
      <c r="Z172" s="291"/>
    </row>
    <row r="173" spans="2:26" ht="13.15" customHeight="1">
      <c r="B173" s="8">
        <v>2</v>
      </c>
      <c r="C173" s="290"/>
      <c r="D173" s="290"/>
      <c r="E173" s="291"/>
      <c r="F173" s="291"/>
      <c r="G173" s="290"/>
      <c r="H173" s="290"/>
      <c r="I173" s="291"/>
      <c r="J173" s="291"/>
      <c r="K173" s="290"/>
      <c r="L173" s="290"/>
      <c r="M173" s="291"/>
      <c r="N173" s="291"/>
      <c r="O173" s="290"/>
      <c r="P173" s="290"/>
      <c r="Q173" s="291"/>
      <c r="R173" s="291"/>
      <c r="S173" s="290"/>
      <c r="T173" s="290"/>
      <c r="U173" s="291"/>
      <c r="V173" s="291"/>
      <c r="W173" s="290"/>
      <c r="X173" s="290"/>
      <c r="Y173" s="291"/>
      <c r="Z173" s="291"/>
    </row>
    <row r="174" spans="2:26" hidden="1">
      <c r="F174" s="80"/>
      <c r="H174" s="4">
        <f>COUNTIF(G172:H173,"&gt;0")</f>
        <v>0</v>
      </c>
      <c r="J174" s="80"/>
      <c r="N174" s="4">
        <f>COUNTIF(M172:N173,"&gt;0")</f>
        <v>0</v>
      </c>
      <c r="R174" s="80"/>
      <c r="T174" s="4">
        <f>COUNTIF(S172:T173,"&gt;0")</f>
        <v>0</v>
      </c>
      <c r="V174" s="80"/>
      <c r="Z174" s="4">
        <f>COUNTIF(Y172:Z173,"&gt;0")</f>
        <v>0</v>
      </c>
    </row>
    <row r="175" spans="2:26" ht="16.5" hidden="1" customHeight="1">
      <c r="C175" s="292">
        <f>SUM(G172:H173)*1000</f>
        <v>0</v>
      </c>
      <c r="D175" s="293"/>
      <c r="E175" s="293"/>
      <c r="F175" s="293"/>
      <c r="G175" s="293"/>
      <c r="H175" s="293"/>
      <c r="I175" s="292">
        <f>SUM(M172:N173)*1000</f>
        <v>0</v>
      </c>
      <c r="J175" s="293"/>
      <c r="K175" s="293"/>
      <c r="L175" s="293"/>
      <c r="M175" s="293"/>
      <c r="N175" s="294"/>
      <c r="O175" s="292">
        <f>SUM(S172:T173)*1000</f>
        <v>0</v>
      </c>
      <c r="P175" s="293"/>
      <c r="Q175" s="293"/>
      <c r="R175" s="293"/>
      <c r="S175" s="293"/>
      <c r="T175" s="293"/>
      <c r="U175" s="292">
        <f>SUM(Y172:Z173)*1000</f>
        <v>0</v>
      </c>
      <c r="V175" s="293"/>
      <c r="W175" s="293"/>
      <c r="X175" s="293"/>
      <c r="Y175" s="293"/>
      <c r="Z175" s="294"/>
    </row>
    <row r="176" spans="2:26" hidden="1">
      <c r="C176" s="194" t="s">
        <v>156</v>
      </c>
      <c r="D176" s="194"/>
      <c r="E176" s="194"/>
      <c r="F176" s="194"/>
      <c r="G176" s="194">
        <f>H174+N174+T174+Z174</f>
        <v>0</v>
      </c>
      <c r="H176" s="194"/>
      <c r="I176" s="194"/>
      <c r="J176" s="194"/>
      <c r="K176" s="194"/>
      <c r="L176" s="194"/>
      <c r="M176" s="194"/>
      <c r="N176" s="194"/>
      <c r="O176" s="194" t="s">
        <v>157</v>
      </c>
      <c r="P176" s="194"/>
      <c r="Q176" s="194"/>
      <c r="R176" s="194"/>
      <c r="S176" s="371">
        <f>C175+I175+O175+U175</f>
        <v>0</v>
      </c>
      <c r="T176" s="194"/>
      <c r="U176" s="194"/>
      <c r="V176" s="194"/>
      <c r="W176" s="194"/>
      <c r="X176" s="194"/>
      <c r="Y176" s="194"/>
      <c r="Z176" s="194"/>
    </row>
    <row r="177" spans="2:26" ht="9" customHeight="1">
      <c r="B177" s="9"/>
    </row>
    <row r="178" spans="2:26" ht="16.149999999999999" customHeight="1">
      <c r="B178" s="382"/>
      <c r="C178" s="386" t="s">
        <v>172</v>
      </c>
      <c r="D178" s="386"/>
      <c r="E178" s="386"/>
      <c r="F178" s="386"/>
      <c r="G178" s="386"/>
      <c r="H178" s="386"/>
      <c r="I178" s="386"/>
      <c r="J178" s="386"/>
      <c r="K178" s="386"/>
      <c r="L178" s="386"/>
      <c r="M178" s="386"/>
      <c r="N178" s="386"/>
      <c r="O178" s="386"/>
      <c r="P178" s="386"/>
      <c r="Q178" s="386"/>
      <c r="R178" s="386"/>
      <c r="S178" s="386"/>
      <c r="T178" s="386"/>
      <c r="U178" s="386"/>
      <c r="V178" s="386"/>
      <c r="W178" s="370" t="s">
        <v>74</v>
      </c>
      <c r="X178" s="370"/>
      <c r="Y178" s="370"/>
      <c r="Z178" s="370"/>
    </row>
    <row r="179" spans="2:26" ht="13.15" customHeight="1">
      <c r="B179" s="383"/>
      <c r="C179" s="194" t="s">
        <v>34</v>
      </c>
      <c r="D179" s="194"/>
      <c r="E179" s="194" t="s">
        <v>186</v>
      </c>
      <c r="F179" s="194"/>
      <c r="G179" s="194" t="s">
        <v>187</v>
      </c>
      <c r="H179" s="194"/>
      <c r="I179" s="194" t="s">
        <v>34</v>
      </c>
      <c r="J179" s="194"/>
      <c r="K179" s="194" t="s">
        <v>186</v>
      </c>
      <c r="L179" s="194"/>
      <c r="M179" s="194" t="s">
        <v>187</v>
      </c>
      <c r="N179" s="194"/>
      <c r="O179" s="194" t="s">
        <v>34</v>
      </c>
      <c r="P179" s="194"/>
      <c r="Q179" s="194" t="s">
        <v>186</v>
      </c>
      <c r="R179" s="194"/>
      <c r="S179" s="194" t="s">
        <v>187</v>
      </c>
      <c r="T179" s="194"/>
      <c r="U179" s="194" t="s">
        <v>34</v>
      </c>
      <c r="V179" s="194"/>
      <c r="W179" s="194" t="s">
        <v>186</v>
      </c>
      <c r="X179" s="194"/>
      <c r="Y179" s="194" t="s">
        <v>187</v>
      </c>
      <c r="Z179" s="194"/>
    </row>
    <row r="180" spans="2:26" ht="13.15" customHeight="1">
      <c r="B180" s="8">
        <v>1</v>
      </c>
      <c r="C180" s="290"/>
      <c r="D180" s="290"/>
      <c r="E180" s="291"/>
      <c r="F180" s="291"/>
      <c r="G180" s="290"/>
      <c r="H180" s="290"/>
      <c r="I180" s="291"/>
      <c r="J180" s="291"/>
      <c r="K180" s="290"/>
      <c r="L180" s="290"/>
      <c r="M180" s="291"/>
      <c r="N180" s="291"/>
      <c r="O180" s="290"/>
      <c r="P180" s="290"/>
      <c r="Q180" s="291"/>
      <c r="R180" s="291"/>
      <c r="S180" s="290"/>
      <c r="T180" s="290"/>
      <c r="U180" s="291"/>
      <c r="V180" s="291"/>
      <c r="W180" s="290"/>
      <c r="X180" s="290"/>
      <c r="Y180" s="291"/>
      <c r="Z180" s="291"/>
    </row>
    <row r="181" spans="2:26" ht="13.15" customHeight="1">
      <c r="B181" s="8">
        <v>2</v>
      </c>
      <c r="C181" s="290"/>
      <c r="D181" s="290"/>
      <c r="E181" s="291"/>
      <c r="F181" s="291"/>
      <c r="G181" s="290"/>
      <c r="H181" s="290"/>
      <c r="I181" s="291"/>
      <c r="J181" s="291"/>
      <c r="K181" s="290"/>
      <c r="L181" s="290"/>
      <c r="M181" s="291"/>
      <c r="N181" s="291"/>
      <c r="O181" s="290"/>
      <c r="P181" s="290"/>
      <c r="Q181" s="291"/>
      <c r="R181" s="291"/>
      <c r="S181" s="290"/>
      <c r="T181" s="290"/>
      <c r="U181" s="291"/>
      <c r="V181" s="291"/>
      <c r="W181" s="290"/>
      <c r="X181" s="290"/>
      <c r="Y181" s="291"/>
      <c r="Z181" s="291"/>
    </row>
    <row r="182" spans="2:26" ht="13.15" customHeight="1">
      <c r="B182" s="8">
        <v>3</v>
      </c>
      <c r="C182" s="290"/>
      <c r="D182" s="290"/>
      <c r="E182" s="291"/>
      <c r="F182" s="291"/>
      <c r="G182" s="290"/>
      <c r="H182" s="290"/>
      <c r="I182" s="291"/>
      <c r="J182" s="291"/>
      <c r="K182" s="290"/>
      <c r="L182" s="290"/>
      <c r="M182" s="291"/>
      <c r="N182" s="291"/>
      <c r="O182" s="290"/>
      <c r="P182" s="290"/>
      <c r="Q182" s="291"/>
      <c r="R182" s="291"/>
      <c r="S182" s="290"/>
      <c r="T182" s="290"/>
      <c r="U182" s="291"/>
      <c r="V182" s="291"/>
      <c r="W182" s="290"/>
      <c r="X182" s="290"/>
      <c r="Y182" s="291"/>
      <c r="Z182" s="291"/>
    </row>
    <row r="183" spans="2:26" ht="13.15" customHeight="1">
      <c r="B183" s="8">
        <v>4</v>
      </c>
      <c r="C183" s="290"/>
      <c r="D183" s="290"/>
      <c r="E183" s="291"/>
      <c r="F183" s="291"/>
      <c r="G183" s="290"/>
      <c r="H183" s="290"/>
      <c r="I183" s="291"/>
      <c r="J183" s="291"/>
      <c r="K183" s="290"/>
      <c r="L183" s="290"/>
      <c r="M183" s="291"/>
      <c r="N183" s="291"/>
      <c r="O183" s="290"/>
      <c r="P183" s="290"/>
      <c r="Q183" s="291"/>
      <c r="R183" s="291"/>
      <c r="S183" s="290"/>
      <c r="T183" s="290"/>
      <c r="U183" s="291"/>
      <c r="V183" s="291"/>
      <c r="W183" s="290"/>
      <c r="X183" s="290"/>
      <c r="Y183" s="291"/>
      <c r="Z183" s="291"/>
    </row>
    <row r="184" spans="2:26" ht="13.15" customHeight="1">
      <c r="B184" s="8">
        <v>5</v>
      </c>
      <c r="C184" s="290"/>
      <c r="D184" s="290"/>
      <c r="E184" s="291"/>
      <c r="F184" s="291"/>
      <c r="G184" s="290"/>
      <c r="H184" s="290"/>
      <c r="I184" s="291"/>
      <c r="J184" s="291"/>
      <c r="K184" s="290"/>
      <c r="L184" s="290"/>
      <c r="M184" s="291"/>
      <c r="N184" s="291"/>
      <c r="O184" s="290"/>
      <c r="P184" s="290"/>
      <c r="Q184" s="291"/>
      <c r="R184" s="291"/>
      <c r="S184" s="290"/>
      <c r="T184" s="290"/>
      <c r="U184" s="291"/>
      <c r="V184" s="291"/>
      <c r="W184" s="290"/>
      <c r="X184" s="290"/>
      <c r="Y184" s="291"/>
      <c r="Z184" s="291"/>
    </row>
    <row r="185" spans="2:26" ht="13.15" customHeight="1">
      <c r="B185" s="8">
        <v>6</v>
      </c>
      <c r="C185" s="290"/>
      <c r="D185" s="290"/>
      <c r="E185" s="291"/>
      <c r="F185" s="291"/>
      <c r="G185" s="290"/>
      <c r="H185" s="290"/>
      <c r="I185" s="291"/>
      <c r="J185" s="291"/>
      <c r="K185" s="290"/>
      <c r="L185" s="290"/>
      <c r="M185" s="291"/>
      <c r="N185" s="291"/>
      <c r="O185" s="290"/>
      <c r="P185" s="290"/>
      <c r="Q185" s="291"/>
      <c r="R185" s="291"/>
      <c r="S185" s="290"/>
      <c r="T185" s="290"/>
      <c r="U185" s="291"/>
      <c r="V185" s="291"/>
      <c r="W185" s="290"/>
      <c r="X185" s="290"/>
      <c r="Y185" s="291"/>
      <c r="Z185" s="291"/>
    </row>
    <row r="186" spans="2:26" ht="13.15" customHeight="1">
      <c r="B186" s="8">
        <v>7</v>
      </c>
      <c r="C186" s="290"/>
      <c r="D186" s="290"/>
      <c r="E186" s="291"/>
      <c r="F186" s="291"/>
      <c r="G186" s="290"/>
      <c r="H186" s="290"/>
      <c r="I186" s="291"/>
      <c r="J186" s="291"/>
      <c r="K186" s="290"/>
      <c r="L186" s="290"/>
      <c r="M186" s="291"/>
      <c r="N186" s="291"/>
      <c r="O186" s="290"/>
      <c r="P186" s="290"/>
      <c r="Q186" s="291"/>
      <c r="R186" s="291"/>
      <c r="S186" s="290"/>
      <c r="T186" s="290"/>
      <c r="U186" s="291"/>
      <c r="V186" s="291"/>
      <c r="W186" s="290"/>
      <c r="X186" s="290"/>
      <c r="Y186" s="291"/>
      <c r="Z186" s="291"/>
    </row>
    <row r="187" spans="2:26" ht="13.15" customHeight="1">
      <c r="B187" s="8">
        <v>8</v>
      </c>
      <c r="C187" s="290"/>
      <c r="D187" s="290"/>
      <c r="E187" s="291"/>
      <c r="F187" s="291"/>
      <c r="G187" s="290"/>
      <c r="H187" s="290"/>
      <c r="I187" s="291"/>
      <c r="J187" s="291"/>
      <c r="K187" s="290"/>
      <c r="L187" s="290"/>
      <c r="M187" s="291"/>
      <c r="N187" s="291"/>
      <c r="O187" s="290"/>
      <c r="P187" s="290"/>
      <c r="Q187" s="291"/>
      <c r="R187" s="291"/>
      <c r="S187" s="290"/>
      <c r="T187" s="290"/>
      <c r="U187" s="291"/>
      <c r="V187" s="291"/>
      <c r="W187" s="290"/>
      <c r="X187" s="290"/>
      <c r="Y187" s="291"/>
      <c r="Z187" s="291"/>
    </row>
    <row r="188" spans="2:26" ht="13.15" customHeight="1">
      <c r="B188" s="8">
        <v>9</v>
      </c>
      <c r="C188" s="290"/>
      <c r="D188" s="290"/>
      <c r="E188" s="291"/>
      <c r="F188" s="291"/>
      <c r="G188" s="290"/>
      <c r="H188" s="290"/>
      <c r="I188" s="291"/>
      <c r="J188" s="291"/>
      <c r="K188" s="290"/>
      <c r="L188" s="290"/>
      <c r="M188" s="291"/>
      <c r="N188" s="291"/>
      <c r="O188" s="290"/>
      <c r="P188" s="290"/>
      <c r="Q188" s="291"/>
      <c r="R188" s="291"/>
      <c r="S188" s="290"/>
      <c r="T188" s="290"/>
      <c r="U188" s="291"/>
      <c r="V188" s="291"/>
      <c r="W188" s="290"/>
      <c r="X188" s="290"/>
      <c r="Y188" s="291"/>
      <c r="Z188" s="291"/>
    </row>
    <row r="189" spans="2:26" ht="13.15" customHeight="1">
      <c r="B189" s="8">
        <v>10</v>
      </c>
      <c r="C189" s="290"/>
      <c r="D189" s="290"/>
      <c r="E189" s="291"/>
      <c r="F189" s="291"/>
      <c r="G189" s="290"/>
      <c r="H189" s="290"/>
      <c r="I189" s="291"/>
      <c r="J189" s="291"/>
      <c r="K189" s="290"/>
      <c r="L189" s="290"/>
      <c r="M189" s="291"/>
      <c r="N189" s="291"/>
      <c r="O189" s="290"/>
      <c r="P189" s="290"/>
      <c r="Q189" s="291"/>
      <c r="R189" s="291"/>
      <c r="S189" s="290"/>
      <c r="T189" s="290"/>
      <c r="U189" s="291"/>
      <c r="V189" s="291"/>
      <c r="W189" s="290"/>
      <c r="X189" s="290"/>
      <c r="Y189" s="291"/>
      <c r="Z189" s="291"/>
    </row>
    <row r="190" spans="2:26" hidden="1">
      <c r="F190" s="80"/>
      <c r="H190" s="4">
        <f>COUNTIF(G180:H189,"&gt;0")</f>
        <v>0</v>
      </c>
      <c r="J190" s="80"/>
      <c r="N190" s="4">
        <f>COUNTIF(M180:N189,"&gt;0")</f>
        <v>0</v>
      </c>
      <c r="O190" s="94"/>
      <c r="P190" s="94"/>
      <c r="Q190" s="94"/>
      <c r="R190" s="94"/>
      <c r="S190" s="95"/>
      <c r="T190" s="95"/>
      <c r="V190" s="80"/>
      <c r="Z190" s="4">
        <f>COUNTIF(Y180:Z189,"&gt;0")</f>
        <v>0</v>
      </c>
    </row>
    <row r="191" spans="2:26" ht="16.5" hidden="1" customHeight="1">
      <c r="C191" s="292">
        <f>SUM(G180:H189)*1000</f>
        <v>0</v>
      </c>
      <c r="D191" s="293"/>
      <c r="E191" s="293"/>
      <c r="F191" s="293"/>
      <c r="G191" s="293"/>
      <c r="H191" s="293"/>
      <c r="I191" s="292">
        <f>SUM(M180:N189)*1000</f>
        <v>0</v>
      </c>
      <c r="J191" s="293"/>
      <c r="K191" s="293"/>
      <c r="L191" s="293"/>
      <c r="M191" s="293"/>
      <c r="N191" s="294"/>
      <c r="O191" s="292">
        <f>SUM(S180:T189)*1000</f>
        <v>0</v>
      </c>
      <c r="P191" s="293"/>
      <c r="Q191" s="293"/>
      <c r="R191" s="293"/>
      <c r="S191" s="293"/>
      <c r="T191" s="293"/>
      <c r="U191" s="292">
        <f>SUM(Y180:Z189)*1000</f>
        <v>0</v>
      </c>
      <c r="V191" s="293"/>
      <c r="W191" s="293"/>
      <c r="X191" s="293"/>
      <c r="Y191" s="293"/>
      <c r="Z191" s="294"/>
    </row>
    <row r="192" spans="2:26" hidden="1">
      <c r="C192" s="194" t="s">
        <v>156</v>
      </c>
      <c r="D192" s="194"/>
      <c r="E192" s="194"/>
      <c r="F192" s="194"/>
      <c r="G192" s="194">
        <f>H190+N190+T190+Z190</f>
        <v>0</v>
      </c>
      <c r="H192" s="194"/>
      <c r="I192" s="194"/>
      <c r="J192" s="194"/>
      <c r="K192" s="194"/>
      <c r="L192" s="194"/>
      <c r="M192" s="194"/>
      <c r="N192" s="194"/>
      <c r="O192" s="194" t="s">
        <v>157</v>
      </c>
      <c r="P192" s="194"/>
      <c r="Q192" s="194"/>
      <c r="R192" s="194"/>
      <c r="S192" s="371">
        <f>C191+I191+O191+U191</f>
        <v>0</v>
      </c>
      <c r="T192" s="194"/>
      <c r="U192" s="194"/>
      <c r="V192" s="194"/>
      <c r="W192" s="194"/>
      <c r="X192" s="194"/>
      <c r="Y192" s="194"/>
      <c r="Z192" s="194"/>
    </row>
    <row r="193" spans="2:26" ht="9" customHeight="1"/>
    <row r="194" spans="2:26" ht="16.149999999999999" customHeight="1">
      <c r="B194" s="382"/>
      <c r="C194" s="386" t="s">
        <v>92</v>
      </c>
      <c r="D194" s="386"/>
      <c r="E194" s="386"/>
      <c r="F194" s="386"/>
      <c r="G194" s="386"/>
      <c r="H194" s="386"/>
      <c r="I194" s="386"/>
      <c r="J194" s="386"/>
      <c r="K194" s="386"/>
      <c r="L194" s="386"/>
      <c r="M194" s="386"/>
      <c r="N194" s="386"/>
      <c r="O194" s="386"/>
      <c r="P194" s="386"/>
      <c r="Q194" s="386"/>
      <c r="R194" s="386"/>
      <c r="S194" s="386"/>
      <c r="T194" s="386"/>
      <c r="U194" s="386"/>
      <c r="V194" s="386"/>
      <c r="W194" s="370" t="s">
        <v>74</v>
      </c>
      <c r="X194" s="370"/>
      <c r="Y194" s="370"/>
      <c r="Z194" s="370"/>
    </row>
    <row r="195" spans="2:26" ht="13.15" customHeight="1">
      <c r="B195" s="383"/>
      <c r="C195" s="194" t="s">
        <v>34</v>
      </c>
      <c r="D195" s="194"/>
      <c r="E195" s="194" t="s">
        <v>186</v>
      </c>
      <c r="F195" s="194"/>
      <c r="G195" s="194" t="s">
        <v>187</v>
      </c>
      <c r="H195" s="194"/>
      <c r="I195" s="194" t="s">
        <v>34</v>
      </c>
      <c r="J195" s="194"/>
      <c r="K195" s="194" t="s">
        <v>186</v>
      </c>
      <c r="L195" s="194"/>
      <c r="M195" s="194" t="s">
        <v>187</v>
      </c>
      <c r="N195" s="194"/>
      <c r="O195" s="194" t="s">
        <v>34</v>
      </c>
      <c r="P195" s="194"/>
      <c r="Q195" s="194" t="s">
        <v>186</v>
      </c>
      <c r="R195" s="194"/>
      <c r="S195" s="194" t="s">
        <v>187</v>
      </c>
      <c r="T195" s="194"/>
      <c r="U195" s="194" t="s">
        <v>34</v>
      </c>
      <c r="V195" s="194"/>
      <c r="W195" s="194" t="s">
        <v>186</v>
      </c>
      <c r="X195" s="194"/>
      <c r="Y195" s="194" t="s">
        <v>187</v>
      </c>
      <c r="Z195" s="194"/>
    </row>
    <row r="196" spans="2:26" ht="12.95" customHeight="1">
      <c r="B196" s="8">
        <v>1</v>
      </c>
      <c r="C196" s="290"/>
      <c r="D196" s="290"/>
      <c r="E196" s="291"/>
      <c r="F196" s="291"/>
      <c r="G196" s="290"/>
      <c r="H196" s="290"/>
      <c r="I196" s="291"/>
      <c r="J196" s="291"/>
      <c r="K196" s="290"/>
      <c r="L196" s="290"/>
      <c r="M196" s="291"/>
      <c r="N196" s="291"/>
      <c r="O196" s="290"/>
      <c r="P196" s="290"/>
      <c r="Q196" s="291"/>
      <c r="R196" s="291"/>
      <c r="S196" s="290"/>
      <c r="T196" s="290"/>
      <c r="U196" s="291"/>
      <c r="V196" s="291"/>
      <c r="W196" s="290"/>
      <c r="X196" s="290"/>
      <c r="Y196" s="291"/>
      <c r="Z196" s="291"/>
    </row>
    <row r="197" spans="2:26" ht="12.95" customHeight="1">
      <c r="B197" s="8">
        <v>2</v>
      </c>
      <c r="C197" s="290"/>
      <c r="D197" s="290"/>
      <c r="E197" s="291"/>
      <c r="F197" s="291"/>
      <c r="G197" s="290"/>
      <c r="H197" s="290"/>
      <c r="I197" s="291"/>
      <c r="J197" s="291"/>
      <c r="K197" s="290"/>
      <c r="L197" s="290"/>
      <c r="M197" s="291"/>
      <c r="N197" s="291"/>
      <c r="O197" s="290"/>
      <c r="P197" s="290"/>
      <c r="Q197" s="291"/>
      <c r="R197" s="291"/>
      <c r="S197" s="290"/>
      <c r="T197" s="290"/>
      <c r="U197" s="291"/>
      <c r="V197" s="291"/>
      <c r="W197" s="290"/>
      <c r="X197" s="290"/>
      <c r="Y197" s="291"/>
      <c r="Z197" s="291"/>
    </row>
    <row r="198" spans="2:26" hidden="1">
      <c r="F198" s="80"/>
      <c r="H198" s="4">
        <f>COUNTIF(G196:H197,"&gt;0")</f>
        <v>0</v>
      </c>
      <c r="J198" s="80"/>
      <c r="N198" s="4">
        <f>COUNTIF(M196:N197,"&gt;0")</f>
        <v>0</v>
      </c>
      <c r="R198" s="80"/>
      <c r="T198" s="4">
        <f>COUNTIF(S196:T197,"&gt;0")</f>
        <v>0</v>
      </c>
      <c r="V198" s="80"/>
      <c r="Z198" s="4">
        <f>COUNTIF(Y196:Z197,"&gt;0")</f>
        <v>0</v>
      </c>
    </row>
    <row r="199" spans="2:26" ht="16.5" hidden="1" customHeight="1">
      <c r="C199" s="292">
        <f>SUM(G196:H197)*1000</f>
        <v>0</v>
      </c>
      <c r="D199" s="293"/>
      <c r="E199" s="293"/>
      <c r="F199" s="293"/>
      <c r="G199" s="293"/>
      <c r="H199" s="293"/>
      <c r="I199" s="292">
        <f>SUM(M196:N197)*1000</f>
        <v>0</v>
      </c>
      <c r="J199" s="293"/>
      <c r="K199" s="293"/>
      <c r="L199" s="293"/>
      <c r="M199" s="293"/>
      <c r="N199" s="294"/>
      <c r="O199" s="292">
        <f>SUM(S196:T197)*1000</f>
        <v>0</v>
      </c>
      <c r="P199" s="293"/>
      <c r="Q199" s="293"/>
      <c r="R199" s="293"/>
      <c r="S199" s="293"/>
      <c r="T199" s="293"/>
      <c r="U199" s="292">
        <f>SUM(Y196:Z197)*1000</f>
        <v>0</v>
      </c>
      <c r="V199" s="293"/>
      <c r="W199" s="293"/>
      <c r="X199" s="293"/>
      <c r="Y199" s="293"/>
      <c r="Z199" s="294"/>
    </row>
    <row r="200" spans="2:26" hidden="1">
      <c r="C200" s="194" t="s">
        <v>156</v>
      </c>
      <c r="D200" s="194"/>
      <c r="E200" s="194"/>
      <c r="F200" s="194"/>
      <c r="G200" s="194">
        <f>H198+N198+T198+Z198</f>
        <v>0</v>
      </c>
      <c r="H200" s="194"/>
      <c r="I200" s="194"/>
      <c r="J200" s="194"/>
      <c r="K200" s="194"/>
      <c r="L200" s="194"/>
      <c r="M200" s="194"/>
      <c r="N200" s="194"/>
      <c r="O200" s="194" t="s">
        <v>157</v>
      </c>
      <c r="P200" s="194"/>
      <c r="Q200" s="194"/>
      <c r="R200" s="194"/>
      <c r="S200" s="371">
        <f>C199+I199+O199+U199</f>
        <v>0</v>
      </c>
      <c r="T200" s="194"/>
      <c r="U200" s="194"/>
      <c r="V200" s="194"/>
      <c r="W200" s="194"/>
      <c r="X200" s="194"/>
      <c r="Y200" s="194"/>
      <c r="Z200" s="194"/>
    </row>
    <row r="201" spans="2:26" ht="9" customHeight="1">
      <c r="B201" s="9"/>
    </row>
    <row r="202" spans="2:26" ht="16.149999999999999" customHeight="1">
      <c r="B202" s="382"/>
      <c r="C202" s="386" t="s">
        <v>93</v>
      </c>
      <c r="D202" s="386"/>
      <c r="E202" s="386"/>
      <c r="F202" s="386"/>
      <c r="G202" s="386"/>
      <c r="H202" s="386"/>
      <c r="I202" s="386"/>
      <c r="J202" s="386"/>
      <c r="K202" s="386"/>
      <c r="L202" s="386"/>
      <c r="M202" s="386"/>
      <c r="N202" s="386"/>
      <c r="O202" s="386"/>
      <c r="P202" s="386"/>
      <c r="Q202" s="386"/>
      <c r="R202" s="386"/>
      <c r="S202" s="386"/>
      <c r="T202" s="386"/>
      <c r="U202" s="386"/>
      <c r="V202" s="386"/>
      <c r="W202" s="370" t="s">
        <v>74</v>
      </c>
      <c r="X202" s="370"/>
      <c r="Y202" s="370"/>
      <c r="Z202" s="370"/>
    </row>
    <row r="203" spans="2:26" ht="13.15" customHeight="1">
      <c r="B203" s="383"/>
      <c r="C203" s="194" t="s">
        <v>34</v>
      </c>
      <c r="D203" s="194"/>
      <c r="E203" s="194" t="s">
        <v>186</v>
      </c>
      <c r="F203" s="194"/>
      <c r="G203" s="194" t="s">
        <v>187</v>
      </c>
      <c r="H203" s="194"/>
      <c r="I203" s="194" t="s">
        <v>34</v>
      </c>
      <c r="J203" s="194"/>
      <c r="K203" s="194" t="s">
        <v>186</v>
      </c>
      <c r="L203" s="194"/>
      <c r="M203" s="194" t="s">
        <v>187</v>
      </c>
      <c r="N203" s="194"/>
      <c r="O203" s="194" t="s">
        <v>34</v>
      </c>
      <c r="P203" s="194"/>
      <c r="Q203" s="194" t="s">
        <v>186</v>
      </c>
      <c r="R203" s="194"/>
      <c r="S203" s="194" t="s">
        <v>187</v>
      </c>
      <c r="T203" s="194"/>
      <c r="U203" s="194" t="s">
        <v>34</v>
      </c>
      <c r="V203" s="194"/>
      <c r="W203" s="194" t="s">
        <v>186</v>
      </c>
      <c r="X203" s="194"/>
      <c r="Y203" s="194" t="s">
        <v>187</v>
      </c>
      <c r="Z203" s="194"/>
    </row>
    <row r="204" spans="2:26" ht="12.95" customHeight="1">
      <c r="B204" s="8">
        <v>1</v>
      </c>
      <c r="C204" s="290"/>
      <c r="D204" s="290"/>
      <c r="E204" s="291"/>
      <c r="F204" s="291"/>
      <c r="G204" s="290"/>
      <c r="H204" s="290"/>
      <c r="I204" s="291"/>
      <c r="J204" s="291"/>
      <c r="K204" s="290"/>
      <c r="L204" s="290"/>
      <c r="M204" s="291"/>
      <c r="N204" s="291"/>
      <c r="O204" s="290"/>
      <c r="P204" s="290"/>
      <c r="Q204" s="291"/>
      <c r="R204" s="291"/>
      <c r="S204" s="290"/>
      <c r="T204" s="290"/>
      <c r="U204" s="291"/>
      <c r="V204" s="291"/>
      <c r="W204" s="290"/>
      <c r="X204" s="290"/>
      <c r="Y204" s="291"/>
      <c r="Z204" s="291"/>
    </row>
    <row r="205" spans="2:26" ht="12.95" customHeight="1">
      <c r="B205" s="8">
        <v>2</v>
      </c>
      <c r="C205" s="290"/>
      <c r="D205" s="290"/>
      <c r="E205" s="291"/>
      <c r="F205" s="291"/>
      <c r="G205" s="290"/>
      <c r="H205" s="290"/>
      <c r="I205" s="291"/>
      <c r="J205" s="291"/>
      <c r="K205" s="290"/>
      <c r="L205" s="290"/>
      <c r="M205" s="291"/>
      <c r="N205" s="291"/>
      <c r="O205" s="290"/>
      <c r="P205" s="290"/>
      <c r="Q205" s="291"/>
      <c r="R205" s="291"/>
      <c r="S205" s="290"/>
      <c r="T205" s="290"/>
      <c r="U205" s="291"/>
      <c r="V205" s="291"/>
      <c r="W205" s="290"/>
      <c r="X205" s="290"/>
      <c r="Y205" s="291"/>
      <c r="Z205" s="291"/>
    </row>
    <row r="206" spans="2:26" hidden="1">
      <c r="F206" s="80"/>
      <c r="H206" s="4">
        <f>COUNTIF(G204:H205,"&gt;0")</f>
        <v>0</v>
      </c>
      <c r="J206" s="80"/>
      <c r="N206" s="4">
        <f>COUNTIF(M204:N205,"&gt;0")</f>
        <v>0</v>
      </c>
      <c r="R206" s="80"/>
      <c r="T206" s="4">
        <f>COUNTIF(S204:T205,"&gt;0")</f>
        <v>0</v>
      </c>
      <c r="V206" s="80"/>
      <c r="Z206" s="4">
        <f>COUNTIF(Y204:Z205,"&gt;0")</f>
        <v>0</v>
      </c>
    </row>
    <row r="207" spans="2:26" ht="16.5" hidden="1" customHeight="1">
      <c r="C207" s="292">
        <f>SUM(G204:H205)*1000</f>
        <v>0</v>
      </c>
      <c r="D207" s="293"/>
      <c r="E207" s="293"/>
      <c r="F207" s="293"/>
      <c r="G207" s="293"/>
      <c r="H207" s="293"/>
      <c r="I207" s="292">
        <f>SUM(M204:N205)*1000</f>
        <v>0</v>
      </c>
      <c r="J207" s="293"/>
      <c r="K207" s="293"/>
      <c r="L207" s="293"/>
      <c r="M207" s="293"/>
      <c r="N207" s="294"/>
      <c r="O207" s="292">
        <f>SUM(S204:T205)*1000</f>
        <v>0</v>
      </c>
      <c r="P207" s="293"/>
      <c r="Q207" s="293"/>
      <c r="R207" s="293"/>
      <c r="S207" s="293"/>
      <c r="T207" s="293"/>
      <c r="U207" s="292">
        <f>SUM(Y204:Z205)*1000</f>
        <v>0</v>
      </c>
      <c r="V207" s="293"/>
      <c r="W207" s="293"/>
      <c r="X207" s="293"/>
      <c r="Y207" s="293"/>
      <c r="Z207" s="294"/>
    </row>
    <row r="208" spans="2:26" hidden="1">
      <c r="C208" s="194" t="s">
        <v>156</v>
      </c>
      <c r="D208" s="194"/>
      <c r="E208" s="194"/>
      <c r="F208" s="194"/>
      <c r="G208" s="194">
        <f>H206+N206+T206+Z206</f>
        <v>0</v>
      </c>
      <c r="H208" s="194"/>
      <c r="I208" s="194"/>
      <c r="J208" s="194"/>
      <c r="K208" s="194"/>
      <c r="L208" s="194"/>
      <c r="M208" s="194"/>
      <c r="N208" s="194"/>
      <c r="O208" s="194" t="s">
        <v>157</v>
      </c>
      <c r="P208" s="194"/>
      <c r="Q208" s="194"/>
      <c r="R208" s="194"/>
      <c r="S208" s="371">
        <f>C207+I207+O207+U207</f>
        <v>0</v>
      </c>
      <c r="T208" s="194"/>
      <c r="U208" s="194"/>
      <c r="V208" s="194"/>
      <c r="W208" s="194"/>
      <c r="X208" s="194"/>
      <c r="Y208" s="194"/>
      <c r="Z208" s="194"/>
    </row>
    <row r="209" spans="2:26" ht="9" customHeight="1">
      <c r="B209" s="9"/>
    </row>
    <row r="210" spans="2:26" ht="16.149999999999999" customHeight="1">
      <c r="B210" s="382"/>
      <c r="C210" s="386" t="s">
        <v>94</v>
      </c>
      <c r="D210" s="386"/>
      <c r="E210" s="386"/>
      <c r="F210" s="386"/>
      <c r="G210" s="386"/>
      <c r="H210" s="386"/>
      <c r="I210" s="386"/>
      <c r="J210" s="386"/>
      <c r="K210" s="386"/>
      <c r="L210" s="386"/>
      <c r="M210" s="386"/>
      <c r="N210" s="386"/>
      <c r="O210" s="386"/>
      <c r="P210" s="386"/>
      <c r="Q210" s="386"/>
      <c r="R210" s="386"/>
      <c r="S210" s="386"/>
      <c r="T210" s="386"/>
      <c r="U210" s="386"/>
      <c r="V210" s="386"/>
      <c r="W210" s="370" t="s">
        <v>74</v>
      </c>
      <c r="X210" s="370"/>
      <c r="Y210" s="370"/>
      <c r="Z210" s="370"/>
    </row>
    <row r="211" spans="2:26" ht="13.15" customHeight="1">
      <c r="B211" s="383"/>
      <c r="C211" s="194" t="s">
        <v>34</v>
      </c>
      <c r="D211" s="194"/>
      <c r="E211" s="194" t="s">
        <v>186</v>
      </c>
      <c r="F211" s="194"/>
      <c r="G211" s="194" t="s">
        <v>187</v>
      </c>
      <c r="H211" s="194"/>
      <c r="I211" s="194" t="s">
        <v>34</v>
      </c>
      <c r="J211" s="194"/>
      <c r="K211" s="194" t="s">
        <v>186</v>
      </c>
      <c r="L211" s="194"/>
      <c r="M211" s="194" t="s">
        <v>187</v>
      </c>
      <c r="N211" s="194"/>
      <c r="O211" s="194" t="s">
        <v>34</v>
      </c>
      <c r="P211" s="194"/>
      <c r="Q211" s="194" t="s">
        <v>186</v>
      </c>
      <c r="R211" s="194"/>
      <c r="S211" s="194" t="s">
        <v>187</v>
      </c>
      <c r="T211" s="194"/>
      <c r="U211" s="194" t="s">
        <v>34</v>
      </c>
      <c r="V211" s="194"/>
      <c r="W211" s="194" t="s">
        <v>186</v>
      </c>
      <c r="X211" s="194"/>
      <c r="Y211" s="194" t="s">
        <v>187</v>
      </c>
      <c r="Z211" s="194"/>
    </row>
    <row r="212" spans="2:26" ht="12.95" customHeight="1">
      <c r="B212" s="8">
        <v>1</v>
      </c>
      <c r="C212" s="290"/>
      <c r="D212" s="290"/>
      <c r="E212" s="291"/>
      <c r="F212" s="291"/>
      <c r="G212" s="290"/>
      <c r="H212" s="290"/>
      <c r="I212" s="291"/>
      <c r="J212" s="291"/>
      <c r="K212" s="290"/>
      <c r="L212" s="290"/>
      <c r="M212" s="291"/>
      <c r="N212" s="291"/>
      <c r="O212" s="290"/>
      <c r="P212" s="290"/>
      <c r="Q212" s="291"/>
      <c r="R212" s="291"/>
      <c r="S212" s="290"/>
      <c r="T212" s="290"/>
      <c r="U212" s="291"/>
      <c r="V212" s="291"/>
      <c r="W212" s="290"/>
      <c r="X212" s="290"/>
      <c r="Y212" s="291"/>
      <c r="Z212" s="291"/>
    </row>
    <row r="213" spans="2:26" ht="12.95" customHeight="1">
      <c r="B213" s="8">
        <v>2</v>
      </c>
      <c r="C213" s="290"/>
      <c r="D213" s="290"/>
      <c r="E213" s="291"/>
      <c r="F213" s="291"/>
      <c r="G213" s="290"/>
      <c r="H213" s="290"/>
      <c r="I213" s="291"/>
      <c r="J213" s="291"/>
      <c r="K213" s="290"/>
      <c r="L213" s="290"/>
      <c r="M213" s="291"/>
      <c r="N213" s="291"/>
      <c r="O213" s="290"/>
      <c r="P213" s="290"/>
      <c r="Q213" s="291"/>
      <c r="R213" s="291"/>
      <c r="S213" s="290"/>
      <c r="T213" s="290"/>
      <c r="U213" s="291"/>
      <c r="V213" s="291"/>
      <c r="W213" s="290"/>
      <c r="X213" s="290"/>
      <c r="Y213" s="291"/>
      <c r="Z213" s="291"/>
    </row>
    <row r="214" spans="2:26" hidden="1">
      <c r="F214" s="80"/>
      <c r="H214" s="4">
        <f>COUNTIF(G212:H213,"&gt;0")</f>
        <v>0</v>
      </c>
      <c r="J214" s="80"/>
      <c r="N214" s="4">
        <f>COUNTIF(M212:N213,"&gt;0")</f>
        <v>0</v>
      </c>
      <c r="R214" s="80"/>
      <c r="T214" s="4">
        <f>COUNTIF(S212:T213,"&gt;0")</f>
        <v>0</v>
      </c>
      <c r="V214" s="80"/>
      <c r="Z214" s="4">
        <f>COUNTIF(Y212:Z213,"&gt;0")</f>
        <v>0</v>
      </c>
    </row>
    <row r="215" spans="2:26" ht="16.5" hidden="1" customHeight="1">
      <c r="C215" s="292">
        <f>SUM(G212:H213)*1000</f>
        <v>0</v>
      </c>
      <c r="D215" s="293"/>
      <c r="E215" s="293"/>
      <c r="F215" s="293"/>
      <c r="G215" s="293"/>
      <c r="H215" s="293"/>
      <c r="I215" s="292">
        <f>SUM(M212:N213)*1000</f>
        <v>0</v>
      </c>
      <c r="J215" s="293"/>
      <c r="K215" s="293"/>
      <c r="L215" s="293"/>
      <c r="M215" s="293"/>
      <c r="N215" s="294"/>
      <c r="O215" s="292">
        <f>SUM(S212:T213)*1000</f>
        <v>0</v>
      </c>
      <c r="P215" s="293"/>
      <c r="Q215" s="293"/>
      <c r="R215" s="293"/>
      <c r="S215" s="293"/>
      <c r="T215" s="293"/>
      <c r="U215" s="292">
        <f>SUM(Y212:Z213)*1000</f>
        <v>0</v>
      </c>
      <c r="V215" s="293"/>
      <c r="W215" s="293"/>
      <c r="X215" s="293"/>
      <c r="Y215" s="293"/>
      <c r="Z215" s="294"/>
    </row>
    <row r="216" spans="2:26" hidden="1">
      <c r="C216" s="194" t="s">
        <v>156</v>
      </c>
      <c r="D216" s="194"/>
      <c r="E216" s="194"/>
      <c r="F216" s="194"/>
      <c r="G216" s="194">
        <f>H214+N214+T214+Z214</f>
        <v>0</v>
      </c>
      <c r="H216" s="194"/>
      <c r="I216" s="194"/>
      <c r="J216" s="194"/>
      <c r="K216" s="194"/>
      <c r="L216" s="194"/>
      <c r="M216" s="194"/>
      <c r="N216" s="194"/>
      <c r="O216" s="194" t="s">
        <v>157</v>
      </c>
      <c r="P216" s="194"/>
      <c r="Q216" s="194"/>
      <c r="R216" s="194"/>
      <c r="S216" s="371">
        <f>C215+I215+O215+U215</f>
        <v>0</v>
      </c>
      <c r="T216" s="194"/>
      <c r="U216" s="194"/>
      <c r="V216" s="194"/>
      <c r="W216" s="194"/>
      <c r="X216" s="194"/>
      <c r="Y216" s="194"/>
      <c r="Z216" s="194"/>
    </row>
    <row r="217" spans="2:26" ht="9" customHeight="1">
      <c r="B217" s="9"/>
    </row>
    <row r="218" spans="2:26" ht="16.149999999999999" customHeight="1">
      <c r="B218" s="382"/>
      <c r="C218" s="386" t="s">
        <v>95</v>
      </c>
      <c r="D218" s="386"/>
      <c r="E218" s="386"/>
      <c r="F218" s="386"/>
      <c r="G218" s="386"/>
      <c r="H218" s="386"/>
      <c r="I218" s="386"/>
      <c r="J218" s="386"/>
      <c r="K218" s="386"/>
      <c r="L218" s="386"/>
      <c r="M218" s="386"/>
      <c r="N218" s="386"/>
      <c r="O218" s="386"/>
      <c r="P218" s="386"/>
      <c r="Q218" s="386"/>
      <c r="R218" s="386"/>
      <c r="S218" s="386"/>
      <c r="T218" s="386"/>
      <c r="U218" s="386"/>
      <c r="V218" s="386"/>
      <c r="W218" s="370" t="s">
        <v>74</v>
      </c>
      <c r="X218" s="370"/>
      <c r="Y218" s="370"/>
      <c r="Z218" s="370"/>
    </row>
    <row r="219" spans="2:26" ht="12" customHeight="1">
      <c r="B219" s="383"/>
      <c r="C219" s="194" t="s">
        <v>34</v>
      </c>
      <c r="D219" s="194"/>
      <c r="E219" s="194" t="s">
        <v>186</v>
      </c>
      <c r="F219" s="194"/>
      <c r="G219" s="194" t="s">
        <v>187</v>
      </c>
      <c r="H219" s="194"/>
      <c r="I219" s="194" t="s">
        <v>34</v>
      </c>
      <c r="J219" s="194"/>
      <c r="K219" s="194" t="s">
        <v>186</v>
      </c>
      <c r="L219" s="194"/>
      <c r="M219" s="194" t="s">
        <v>187</v>
      </c>
      <c r="N219" s="194"/>
      <c r="O219" s="194" t="s">
        <v>34</v>
      </c>
      <c r="P219" s="194"/>
      <c r="Q219" s="194" t="s">
        <v>186</v>
      </c>
      <c r="R219" s="194"/>
      <c r="S219" s="194" t="s">
        <v>187</v>
      </c>
      <c r="T219" s="194"/>
      <c r="U219" s="194" t="s">
        <v>34</v>
      </c>
      <c r="V219" s="194"/>
      <c r="W219" s="194" t="s">
        <v>186</v>
      </c>
      <c r="X219" s="194"/>
      <c r="Y219" s="194" t="s">
        <v>187</v>
      </c>
      <c r="Z219" s="194"/>
    </row>
    <row r="220" spans="2:26" ht="12.95" customHeight="1">
      <c r="B220" s="8">
        <v>1</v>
      </c>
      <c r="C220" s="290"/>
      <c r="D220" s="290"/>
      <c r="E220" s="291"/>
      <c r="F220" s="291"/>
      <c r="G220" s="290"/>
      <c r="H220" s="290"/>
      <c r="I220" s="291"/>
      <c r="J220" s="291"/>
      <c r="K220" s="290"/>
      <c r="L220" s="290"/>
      <c r="M220" s="291"/>
      <c r="N220" s="291"/>
      <c r="O220" s="290"/>
      <c r="P220" s="290"/>
      <c r="Q220" s="291"/>
      <c r="R220" s="291"/>
      <c r="S220" s="290"/>
      <c r="T220" s="290"/>
      <c r="U220" s="291"/>
      <c r="V220" s="291"/>
      <c r="W220" s="290"/>
      <c r="X220" s="290"/>
      <c r="Y220" s="291"/>
      <c r="Z220" s="291"/>
    </row>
    <row r="221" spans="2:26" ht="12.95" customHeight="1">
      <c r="B221" s="8">
        <v>2</v>
      </c>
      <c r="C221" s="290"/>
      <c r="D221" s="290"/>
      <c r="E221" s="291"/>
      <c r="F221" s="291"/>
      <c r="G221" s="290"/>
      <c r="H221" s="290"/>
      <c r="I221" s="291"/>
      <c r="J221" s="291"/>
      <c r="K221" s="290"/>
      <c r="L221" s="290"/>
      <c r="M221" s="291"/>
      <c r="N221" s="291"/>
      <c r="O221" s="290"/>
      <c r="P221" s="290"/>
      <c r="Q221" s="291"/>
      <c r="R221" s="291"/>
      <c r="S221" s="290"/>
      <c r="T221" s="290"/>
      <c r="U221" s="291"/>
      <c r="V221" s="291"/>
      <c r="W221" s="290"/>
      <c r="X221" s="290"/>
      <c r="Y221" s="291"/>
      <c r="Z221" s="291"/>
    </row>
    <row r="222" spans="2:26" ht="12.95" customHeight="1">
      <c r="B222" s="8">
        <v>3</v>
      </c>
      <c r="C222" s="290"/>
      <c r="D222" s="290"/>
      <c r="E222" s="291"/>
      <c r="F222" s="291"/>
      <c r="G222" s="290"/>
      <c r="H222" s="290"/>
      <c r="I222" s="291"/>
      <c r="J222" s="291"/>
      <c r="K222" s="290"/>
      <c r="L222" s="290"/>
      <c r="M222" s="291"/>
      <c r="N222" s="291"/>
      <c r="O222" s="290"/>
      <c r="P222" s="290"/>
      <c r="Q222" s="291"/>
      <c r="R222" s="291"/>
      <c r="S222" s="290"/>
      <c r="T222" s="290"/>
      <c r="U222" s="291"/>
      <c r="V222" s="291"/>
      <c r="W222" s="290"/>
      <c r="X222" s="290"/>
      <c r="Y222" s="291"/>
      <c r="Z222" s="291"/>
    </row>
    <row r="223" spans="2:26" ht="12.95" customHeight="1">
      <c r="B223" s="8">
        <v>4</v>
      </c>
      <c r="C223" s="290"/>
      <c r="D223" s="290"/>
      <c r="E223" s="291"/>
      <c r="F223" s="291"/>
      <c r="G223" s="290"/>
      <c r="H223" s="290"/>
      <c r="I223" s="291"/>
      <c r="J223" s="291"/>
      <c r="K223" s="290"/>
      <c r="L223" s="290"/>
      <c r="M223" s="291"/>
      <c r="N223" s="291"/>
      <c r="O223" s="290"/>
      <c r="P223" s="290"/>
      <c r="Q223" s="291"/>
      <c r="R223" s="291"/>
      <c r="S223" s="290"/>
      <c r="T223" s="290"/>
      <c r="U223" s="291"/>
      <c r="V223" s="291"/>
      <c r="W223" s="290"/>
      <c r="X223" s="290"/>
      <c r="Y223" s="291"/>
      <c r="Z223" s="291"/>
    </row>
    <row r="224" spans="2:26" ht="12.95" customHeight="1">
      <c r="B224" s="8">
        <v>5</v>
      </c>
      <c r="C224" s="290"/>
      <c r="D224" s="290"/>
      <c r="E224" s="291"/>
      <c r="F224" s="291"/>
      <c r="G224" s="290"/>
      <c r="H224" s="290"/>
      <c r="I224" s="291"/>
      <c r="J224" s="291"/>
      <c r="K224" s="290"/>
      <c r="L224" s="290"/>
      <c r="M224" s="291"/>
      <c r="N224" s="291"/>
      <c r="O224" s="290"/>
      <c r="P224" s="290"/>
      <c r="Q224" s="291"/>
      <c r="R224" s="291"/>
      <c r="S224" s="290"/>
      <c r="T224" s="290"/>
      <c r="U224" s="291"/>
      <c r="V224" s="291"/>
      <c r="W224" s="290"/>
      <c r="X224" s="290"/>
      <c r="Y224" s="291"/>
      <c r="Z224" s="291"/>
    </row>
    <row r="225" spans="2:26" hidden="1">
      <c r="F225" s="80"/>
      <c r="H225" s="4">
        <f>COUNTIF(G220:H224,"&gt;0")</f>
        <v>0</v>
      </c>
      <c r="J225" s="80"/>
      <c r="N225" s="4">
        <f>COUNTIF(M220:N224,"&gt;0")</f>
        <v>0</v>
      </c>
      <c r="R225" s="80"/>
      <c r="T225" s="4">
        <f>COUNTIF(S220:T224,"&gt;0")</f>
        <v>0</v>
      </c>
      <c r="V225" s="80"/>
      <c r="Z225" s="4">
        <f>COUNTIF(Y220:Z224,"&gt;0")</f>
        <v>0</v>
      </c>
    </row>
    <row r="226" spans="2:26" ht="16.5" hidden="1" customHeight="1">
      <c r="C226" s="292">
        <f>SUM(G220:H224)*1000</f>
        <v>0</v>
      </c>
      <c r="D226" s="293"/>
      <c r="E226" s="293"/>
      <c r="F226" s="293"/>
      <c r="G226" s="293"/>
      <c r="H226" s="293"/>
      <c r="I226" s="292">
        <f>SUM(M220:N224)*1000</f>
        <v>0</v>
      </c>
      <c r="J226" s="293"/>
      <c r="K226" s="293"/>
      <c r="L226" s="293"/>
      <c r="M226" s="293"/>
      <c r="N226" s="294"/>
      <c r="O226" s="292">
        <f>SUM(S220:T224)*1000</f>
        <v>0</v>
      </c>
      <c r="P226" s="293"/>
      <c r="Q226" s="293"/>
      <c r="R226" s="293"/>
      <c r="S226" s="293"/>
      <c r="T226" s="293"/>
      <c r="U226" s="292">
        <f>SUM(Y220:Z224)*1000</f>
        <v>0</v>
      </c>
      <c r="V226" s="293"/>
      <c r="W226" s="293"/>
      <c r="X226" s="293"/>
      <c r="Y226" s="293"/>
      <c r="Z226" s="294"/>
    </row>
    <row r="227" spans="2:26" hidden="1">
      <c r="C227" s="194" t="s">
        <v>156</v>
      </c>
      <c r="D227" s="194"/>
      <c r="E227" s="194"/>
      <c r="F227" s="194"/>
      <c r="G227" s="194">
        <f>H225+N225+T225+Z225</f>
        <v>0</v>
      </c>
      <c r="H227" s="194"/>
      <c r="I227" s="194"/>
      <c r="J227" s="194"/>
      <c r="K227" s="194"/>
      <c r="L227" s="194"/>
      <c r="M227" s="194"/>
      <c r="N227" s="194"/>
      <c r="O227" s="194" t="s">
        <v>157</v>
      </c>
      <c r="P227" s="194"/>
      <c r="Q227" s="194"/>
      <c r="R227" s="194"/>
      <c r="S227" s="371">
        <f>C226+I226+O226+U226</f>
        <v>0</v>
      </c>
      <c r="T227" s="194"/>
      <c r="U227" s="194"/>
      <c r="V227" s="194"/>
      <c r="W227" s="194"/>
      <c r="X227" s="194"/>
      <c r="Y227" s="194"/>
      <c r="Z227" s="194"/>
    </row>
    <row r="228" spans="2:26" ht="9" customHeight="1"/>
    <row r="229" spans="2:26" ht="16.149999999999999" customHeight="1">
      <c r="B229" s="382"/>
      <c r="C229" s="386" t="s">
        <v>96</v>
      </c>
      <c r="D229" s="386"/>
      <c r="E229" s="386"/>
      <c r="F229" s="386"/>
      <c r="G229" s="386"/>
      <c r="H229" s="386"/>
      <c r="I229" s="386"/>
      <c r="J229" s="386"/>
      <c r="K229" s="386"/>
      <c r="L229" s="386"/>
      <c r="M229" s="386"/>
      <c r="N229" s="386"/>
      <c r="O229" s="386"/>
      <c r="P229" s="386"/>
      <c r="Q229" s="386"/>
      <c r="R229" s="386"/>
      <c r="S229" s="386"/>
      <c r="T229" s="386"/>
      <c r="U229" s="386"/>
      <c r="V229" s="386"/>
      <c r="W229" s="370" t="s">
        <v>74</v>
      </c>
      <c r="X229" s="370"/>
      <c r="Y229" s="370"/>
      <c r="Z229" s="370"/>
    </row>
    <row r="230" spans="2:26" ht="13.15" customHeight="1">
      <c r="B230" s="383"/>
      <c r="C230" s="194" t="s">
        <v>34</v>
      </c>
      <c r="D230" s="194"/>
      <c r="E230" s="194" t="s">
        <v>14</v>
      </c>
      <c r="F230" s="194"/>
      <c r="G230" s="194" t="s">
        <v>34</v>
      </c>
      <c r="H230" s="194"/>
      <c r="I230" s="194" t="s">
        <v>14</v>
      </c>
      <c r="J230" s="194"/>
      <c r="K230" s="194" t="s">
        <v>34</v>
      </c>
      <c r="L230" s="194"/>
      <c r="M230" s="194" t="s">
        <v>14</v>
      </c>
      <c r="N230" s="194"/>
      <c r="O230" s="194" t="s">
        <v>34</v>
      </c>
      <c r="P230" s="194"/>
      <c r="Q230" s="194" t="s">
        <v>14</v>
      </c>
      <c r="R230" s="194"/>
      <c r="S230" s="194" t="s">
        <v>34</v>
      </c>
      <c r="T230" s="194"/>
      <c r="U230" s="194" t="s">
        <v>14</v>
      </c>
      <c r="V230" s="194"/>
      <c r="W230" s="194" t="s">
        <v>34</v>
      </c>
      <c r="X230" s="194"/>
      <c r="Y230" s="194" t="s">
        <v>14</v>
      </c>
      <c r="Z230" s="194"/>
    </row>
    <row r="231" spans="2:26" ht="12.95" customHeight="1">
      <c r="B231" s="8">
        <v>1</v>
      </c>
      <c r="C231" s="290"/>
      <c r="D231" s="290"/>
      <c r="E231" s="291"/>
      <c r="F231" s="291"/>
      <c r="G231" s="290"/>
      <c r="H231" s="290"/>
      <c r="I231" s="291"/>
      <c r="J231" s="291"/>
      <c r="K231" s="290"/>
      <c r="L231" s="290"/>
      <c r="M231" s="291"/>
      <c r="N231" s="291"/>
      <c r="O231" s="290"/>
      <c r="P231" s="290"/>
      <c r="Q231" s="291"/>
      <c r="R231" s="291"/>
      <c r="S231" s="290"/>
      <c r="T231" s="290"/>
      <c r="U231" s="291"/>
      <c r="V231" s="291"/>
      <c r="W231" s="290"/>
      <c r="X231" s="290"/>
      <c r="Y231" s="291"/>
      <c r="Z231" s="291"/>
    </row>
    <row r="232" spans="2:26" ht="12.95" customHeight="1">
      <c r="B232" s="8">
        <v>2</v>
      </c>
      <c r="C232" s="290"/>
      <c r="D232" s="290"/>
      <c r="E232" s="291"/>
      <c r="F232" s="291"/>
      <c r="G232" s="290"/>
      <c r="H232" s="290"/>
      <c r="I232" s="291"/>
      <c r="J232" s="291"/>
      <c r="K232" s="290"/>
      <c r="L232" s="290"/>
      <c r="M232" s="291"/>
      <c r="N232" s="291"/>
      <c r="O232" s="290"/>
      <c r="P232" s="290"/>
      <c r="Q232" s="291"/>
      <c r="R232" s="291"/>
      <c r="S232" s="290"/>
      <c r="T232" s="290"/>
      <c r="U232" s="291"/>
      <c r="V232" s="291"/>
      <c r="W232" s="290"/>
      <c r="X232" s="290"/>
      <c r="Y232" s="291"/>
      <c r="Z232" s="291"/>
    </row>
    <row r="233" spans="2:26" ht="12.95" customHeight="1">
      <c r="B233" s="8">
        <v>3</v>
      </c>
      <c r="C233" s="290"/>
      <c r="D233" s="290"/>
      <c r="E233" s="291"/>
      <c r="F233" s="291"/>
      <c r="G233" s="290"/>
      <c r="H233" s="290"/>
      <c r="I233" s="291"/>
      <c r="J233" s="291"/>
      <c r="K233" s="290"/>
      <c r="L233" s="290"/>
      <c r="M233" s="291"/>
      <c r="N233" s="291"/>
      <c r="O233" s="290"/>
      <c r="P233" s="290"/>
      <c r="Q233" s="291"/>
      <c r="R233" s="291"/>
      <c r="S233" s="290"/>
      <c r="T233" s="290"/>
      <c r="U233" s="291"/>
      <c r="V233" s="291"/>
      <c r="W233" s="290"/>
      <c r="X233" s="290"/>
      <c r="Y233" s="291"/>
      <c r="Z233" s="291"/>
    </row>
    <row r="234" spans="2:26" ht="12.95" customHeight="1">
      <c r="B234" s="8">
        <v>4</v>
      </c>
      <c r="C234" s="290"/>
      <c r="D234" s="290"/>
      <c r="E234" s="291"/>
      <c r="F234" s="291"/>
      <c r="G234" s="290"/>
      <c r="H234" s="290"/>
      <c r="I234" s="291"/>
      <c r="J234" s="291"/>
      <c r="K234" s="290"/>
      <c r="L234" s="290"/>
      <c r="M234" s="291"/>
      <c r="N234" s="291"/>
      <c r="O234" s="290"/>
      <c r="P234" s="290"/>
      <c r="Q234" s="291"/>
      <c r="R234" s="291"/>
      <c r="S234" s="290"/>
      <c r="T234" s="290"/>
      <c r="U234" s="291"/>
      <c r="V234" s="291"/>
      <c r="W234" s="290"/>
      <c r="X234" s="290"/>
      <c r="Y234" s="291"/>
      <c r="Z234" s="291"/>
    </row>
    <row r="235" spans="2:26" ht="12.95" customHeight="1">
      <c r="B235" s="8">
        <v>5</v>
      </c>
      <c r="C235" s="290"/>
      <c r="D235" s="290"/>
      <c r="E235" s="291"/>
      <c r="F235" s="291"/>
      <c r="G235" s="290"/>
      <c r="H235" s="290"/>
      <c r="I235" s="291"/>
      <c r="J235" s="291"/>
      <c r="K235" s="290"/>
      <c r="L235" s="290"/>
      <c r="M235" s="291"/>
      <c r="N235" s="291"/>
      <c r="O235" s="290"/>
      <c r="P235" s="290"/>
      <c r="Q235" s="291"/>
      <c r="R235" s="291"/>
      <c r="S235" s="290"/>
      <c r="T235" s="290"/>
      <c r="U235" s="291"/>
      <c r="V235" s="291"/>
      <c r="W235" s="290"/>
      <c r="X235" s="290"/>
      <c r="Y235" s="291"/>
      <c r="Z235" s="291"/>
    </row>
    <row r="236" spans="2:26" hidden="1">
      <c r="F236" s="4">
        <f>COUNTIF(E231:F235,"&gt;0")</f>
        <v>0</v>
      </c>
      <c r="J236" s="4">
        <f>COUNTIF(I231:J235,"&gt;0")</f>
        <v>0</v>
      </c>
      <c r="N236" s="4">
        <f>COUNTIF(M231:N235,"&gt;0")</f>
        <v>0</v>
      </c>
      <c r="R236" s="4">
        <f>COUNTIF(Q231:R235,"&gt;0")</f>
        <v>0</v>
      </c>
      <c r="V236" s="4">
        <f>COUNTIF(U231:V235,"&gt;0")</f>
        <v>0</v>
      </c>
      <c r="Z236" s="4">
        <f>COUNTIF(Y231:Z235,"&gt;0")</f>
        <v>0</v>
      </c>
    </row>
    <row r="237" spans="2:26" ht="16.5" hidden="1" customHeight="1">
      <c r="C237" s="374">
        <f>SUM(E231:F235)*1000</f>
        <v>0</v>
      </c>
      <c r="D237" s="374"/>
      <c r="E237" s="374"/>
      <c r="F237" s="374"/>
      <c r="G237" s="374">
        <f>SUM(I231:J235)*1000</f>
        <v>0</v>
      </c>
      <c r="H237" s="374"/>
      <c r="I237" s="374"/>
      <c r="J237" s="374"/>
      <c r="K237" s="374">
        <f>SUM(M231:N235)*1000</f>
        <v>0</v>
      </c>
      <c r="L237" s="374"/>
      <c r="M237" s="374"/>
      <c r="N237" s="374"/>
      <c r="O237" s="374">
        <f>SUM(Q231:R235)*1000</f>
        <v>0</v>
      </c>
      <c r="P237" s="374"/>
      <c r="Q237" s="374"/>
      <c r="R237" s="374"/>
      <c r="S237" s="374">
        <f>SUM(U231:V235)*1000</f>
        <v>0</v>
      </c>
      <c r="T237" s="374"/>
      <c r="U237" s="374"/>
      <c r="V237" s="374"/>
      <c r="W237" s="374">
        <f>SUM(Y231:Z235)*1000</f>
        <v>0</v>
      </c>
      <c r="X237" s="374"/>
      <c r="Y237" s="374"/>
      <c r="Z237" s="374"/>
    </row>
    <row r="238" spans="2:26" hidden="1">
      <c r="C238" s="194" t="s">
        <v>156</v>
      </c>
      <c r="D238" s="194"/>
      <c r="E238" s="194"/>
      <c r="F238" s="194"/>
      <c r="G238" s="194">
        <f>F236+J236+N236+R236+V236+Z236</f>
        <v>0</v>
      </c>
      <c r="H238" s="194"/>
      <c r="I238" s="194"/>
      <c r="J238" s="194"/>
      <c r="K238" s="194"/>
      <c r="L238" s="194"/>
      <c r="M238" s="194"/>
      <c r="N238" s="194"/>
      <c r="O238" s="194" t="s">
        <v>157</v>
      </c>
      <c r="P238" s="194"/>
      <c r="Q238" s="194"/>
      <c r="R238" s="194"/>
      <c r="S238" s="371">
        <f>C237+G237+K237+O237+S237+W237</f>
        <v>0</v>
      </c>
      <c r="T238" s="194"/>
      <c r="U238" s="194"/>
      <c r="V238" s="194"/>
      <c r="W238" s="194"/>
      <c r="X238" s="194"/>
      <c r="Y238" s="194"/>
      <c r="Z238" s="194"/>
    </row>
    <row r="240" spans="2:26" ht="17.25" customHeight="1"/>
    <row r="241" ht="16.5" customHeight="1"/>
    <row r="242" ht="16.5" customHeight="1"/>
    <row r="243" ht="16.5" customHeight="1"/>
    <row r="244" ht="16.5" customHeight="1"/>
    <row r="245" ht="16.5" customHeight="1"/>
    <row r="246" ht="16.5" customHeight="1"/>
    <row r="247" ht="16.5" customHeight="1"/>
    <row r="248" ht="16.5" customHeight="1"/>
    <row r="249" ht="16.5" customHeight="1"/>
    <row r="250" ht="16.5" customHeight="1"/>
    <row r="251" ht="16.5" customHeight="1"/>
    <row r="252" ht="16.5" customHeight="1"/>
    <row r="253" ht="16.5" customHeight="1"/>
    <row r="254" ht="16.5" customHeight="1"/>
    <row r="255" ht="16.5" customHeight="1"/>
    <row r="256" ht="16.5" customHeight="1"/>
    <row r="257" ht="16.5" customHeight="1"/>
    <row r="258" ht="16.5" customHeight="1"/>
    <row r="259" ht="17.25" customHeight="1"/>
    <row r="260" ht="18" customHeight="1"/>
  </sheetData>
  <sheetProtection password="CFDC" sheet="1" objects="1" scenarios="1"/>
  <mergeCells count="1893">
    <mergeCell ref="S157:V157"/>
    <mergeCell ref="W157:Z157"/>
    <mergeCell ref="C158:F158"/>
    <mergeCell ref="G158:N158"/>
    <mergeCell ref="O158:R158"/>
    <mergeCell ref="S158:Z158"/>
    <mergeCell ref="C237:F237"/>
    <mergeCell ref="G237:J237"/>
    <mergeCell ref="K237:N237"/>
    <mergeCell ref="O237:R237"/>
    <mergeCell ref="S237:V237"/>
    <mergeCell ref="W237:Z237"/>
    <mergeCell ref="S196:T196"/>
    <mergeCell ref="U196:V196"/>
    <mergeCell ref="W196:X196"/>
    <mergeCell ref="Y196:Z196"/>
    <mergeCell ref="W195:X195"/>
    <mergeCell ref="Y195:Z195"/>
    <mergeCell ref="C196:D196"/>
    <mergeCell ref="C216:F216"/>
    <mergeCell ref="G216:N216"/>
    <mergeCell ref="O216:R216"/>
    <mergeCell ref="S216:Z216"/>
    <mergeCell ref="C168:F168"/>
    <mergeCell ref="G168:N168"/>
    <mergeCell ref="O168:R168"/>
    <mergeCell ref="S168:Z168"/>
    <mergeCell ref="O213:P213"/>
    <mergeCell ref="S213:T213"/>
    <mergeCell ref="U213:V213"/>
    <mergeCell ref="W213:X213"/>
    <mergeCell ref="C238:F238"/>
    <mergeCell ref="G238:N238"/>
    <mergeCell ref="O238:R238"/>
    <mergeCell ref="S238:Z238"/>
    <mergeCell ref="C227:F227"/>
    <mergeCell ref="G227:N227"/>
    <mergeCell ref="O227:R227"/>
    <mergeCell ref="S227:Z227"/>
    <mergeCell ref="C200:F200"/>
    <mergeCell ref="G200:N200"/>
    <mergeCell ref="O200:R200"/>
    <mergeCell ref="S200:Z200"/>
    <mergeCell ref="U233:V233"/>
    <mergeCell ref="W233:X233"/>
    <mergeCell ref="Y233:Z233"/>
    <mergeCell ref="C233:D233"/>
    <mergeCell ref="E233:F233"/>
    <mergeCell ref="G233:H233"/>
    <mergeCell ref="I233:J233"/>
    <mergeCell ref="K233:L233"/>
    <mergeCell ref="M233:N233"/>
    <mergeCell ref="O232:P232"/>
    <mergeCell ref="Q232:R232"/>
    <mergeCell ref="S232:T232"/>
    <mergeCell ref="U232:V232"/>
    <mergeCell ref="W232:X232"/>
    <mergeCell ref="Y213:Z213"/>
    <mergeCell ref="S212:T212"/>
    <mergeCell ref="E213:F213"/>
    <mergeCell ref="G52:J52"/>
    <mergeCell ref="K52:N52"/>
    <mergeCell ref="O52:R52"/>
    <mergeCell ref="S52:V52"/>
    <mergeCell ref="W52:Z52"/>
    <mergeCell ref="G53:N53"/>
    <mergeCell ref="C53:F53"/>
    <mergeCell ref="O53:R53"/>
    <mergeCell ref="S53:Z53"/>
    <mergeCell ref="C105:F105"/>
    <mergeCell ref="G105:J105"/>
    <mergeCell ref="K105:N105"/>
    <mergeCell ref="O105:R105"/>
    <mergeCell ref="S105:V105"/>
    <mergeCell ref="W105:Z105"/>
    <mergeCell ref="V160:Y160"/>
    <mergeCell ref="C155:F155"/>
    <mergeCell ref="G155:J155"/>
    <mergeCell ref="K155:N155"/>
    <mergeCell ref="O155:R155"/>
    <mergeCell ref="S155:V155"/>
    <mergeCell ref="W155:Z155"/>
    <mergeCell ref="C154:F154"/>
    <mergeCell ref="G154:J154"/>
    <mergeCell ref="K154:N154"/>
    <mergeCell ref="O154:R154"/>
    <mergeCell ref="W154:Z154"/>
    <mergeCell ref="K157:N157"/>
    <mergeCell ref="O157:R157"/>
    <mergeCell ref="W147:Z147"/>
    <mergeCell ref="C148:F148"/>
    <mergeCell ref="G148:J148"/>
    <mergeCell ref="Q231:R231"/>
    <mergeCell ref="R5:U5"/>
    <mergeCell ref="L12:U12"/>
    <mergeCell ref="R7:U7"/>
    <mergeCell ref="O235:P235"/>
    <mergeCell ref="Q235:R235"/>
    <mergeCell ref="S235:T235"/>
    <mergeCell ref="U235:V235"/>
    <mergeCell ref="W235:X235"/>
    <mergeCell ref="Y235:Z235"/>
    <mergeCell ref="C235:D235"/>
    <mergeCell ref="E235:F235"/>
    <mergeCell ref="G235:H235"/>
    <mergeCell ref="I235:J235"/>
    <mergeCell ref="K235:L235"/>
    <mergeCell ref="M235:N235"/>
    <mergeCell ref="O234:P234"/>
    <mergeCell ref="Q234:R234"/>
    <mergeCell ref="S234:T234"/>
    <mergeCell ref="U234:V234"/>
    <mergeCell ref="W234:X234"/>
    <mergeCell ref="Y234:Z234"/>
    <mergeCell ref="C234:D234"/>
    <mergeCell ref="E234:F234"/>
    <mergeCell ref="G234:H234"/>
    <mergeCell ref="I234:J234"/>
    <mergeCell ref="U212:V212"/>
    <mergeCell ref="W212:X212"/>
    <mergeCell ref="Y212:Z212"/>
    <mergeCell ref="C213:D213"/>
    <mergeCell ref="S233:T233"/>
    <mergeCell ref="C52:F52"/>
    <mergeCell ref="K234:L234"/>
    <mergeCell ref="M234:N234"/>
    <mergeCell ref="O233:P233"/>
    <mergeCell ref="Q233:R233"/>
    <mergeCell ref="B229:B230"/>
    <mergeCell ref="C229:V229"/>
    <mergeCell ref="W229:Z229"/>
    <mergeCell ref="C230:D230"/>
    <mergeCell ref="E230:F230"/>
    <mergeCell ref="G230:H230"/>
    <mergeCell ref="I230:J230"/>
    <mergeCell ref="C224:D224"/>
    <mergeCell ref="E224:F224"/>
    <mergeCell ref="G224:H224"/>
    <mergeCell ref="I224:J224"/>
    <mergeCell ref="K224:L224"/>
    <mergeCell ref="M224:N224"/>
    <mergeCell ref="O224:P224"/>
    <mergeCell ref="Q224:R224"/>
    <mergeCell ref="S224:T224"/>
    <mergeCell ref="Y232:Z232"/>
    <mergeCell ref="S231:T231"/>
    <mergeCell ref="U231:V231"/>
    <mergeCell ref="W231:X231"/>
    <mergeCell ref="Y231:Z231"/>
    <mergeCell ref="C232:D232"/>
    <mergeCell ref="E232:F232"/>
    <mergeCell ref="G232:H232"/>
    <mergeCell ref="I232:J232"/>
    <mergeCell ref="K232:L232"/>
    <mergeCell ref="M232:N232"/>
    <mergeCell ref="C231:D231"/>
    <mergeCell ref="E231:F231"/>
    <mergeCell ref="G231:H231"/>
    <mergeCell ref="I231:J231"/>
    <mergeCell ref="K231:L231"/>
    <mergeCell ref="W223:X223"/>
    <mergeCell ref="W230:X230"/>
    <mergeCell ref="Y230:Z230"/>
    <mergeCell ref="Q222:R222"/>
    <mergeCell ref="S222:T222"/>
    <mergeCell ref="U222:V222"/>
    <mergeCell ref="W222:X222"/>
    <mergeCell ref="Y222:Z222"/>
    <mergeCell ref="C223:D223"/>
    <mergeCell ref="E223:F223"/>
    <mergeCell ref="G223:H223"/>
    <mergeCell ref="I223:J223"/>
    <mergeCell ref="K223:L223"/>
    <mergeCell ref="K230:L230"/>
    <mergeCell ref="M230:N230"/>
    <mergeCell ref="O230:P230"/>
    <mergeCell ref="Q230:R230"/>
    <mergeCell ref="S230:T230"/>
    <mergeCell ref="U230:V230"/>
    <mergeCell ref="U224:V224"/>
    <mergeCell ref="W224:X224"/>
    <mergeCell ref="Y224:Z224"/>
    <mergeCell ref="C226:H226"/>
    <mergeCell ref="I226:N226"/>
    <mergeCell ref="O226:T226"/>
    <mergeCell ref="U226:Z226"/>
    <mergeCell ref="M231:N231"/>
    <mergeCell ref="O231:P231"/>
    <mergeCell ref="U221:V221"/>
    <mergeCell ref="W221:X221"/>
    <mergeCell ref="Y221:Z221"/>
    <mergeCell ref="C222:D222"/>
    <mergeCell ref="E222:F222"/>
    <mergeCell ref="G222:H222"/>
    <mergeCell ref="I222:J222"/>
    <mergeCell ref="K222:L222"/>
    <mergeCell ref="M222:N222"/>
    <mergeCell ref="O222:P222"/>
    <mergeCell ref="Y223:Z223"/>
    <mergeCell ref="Y220:Z220"/>
    <mergeCell ref="C221:D221"/>
    <mergeCell ref="E221:F221"/>
    <mergeCell ref="G221:H221"/>
    <mergeCell ref="I221:J221"/>
    <mergeCell ref="K221:L221"/>
    <mergeCell ref="M221:N221"/>
    <mergeCell ref="O221:P221"/>
    <mergeCell ref="Q221:R221"/>
    <mergeCell ref="S221:T221"/>
    <mergeCell ref="M220:N220"/>
    <mergeCell ref="O220:P220"/>
    <mergeCell ref="Q220:R220"/>
    <mergeCell ref="S220:T220"/>
    <mergeCell ref="U220:V220"/>
    <mergeCell ref="W220:X220"/>
    <mergeCell ref="M223:N223"/>
    <mergeCell ref="O223:P223"/>
    <mergeCell ref="Q223:R223"/>
    <mergeCell ref="S223:T223"/>
    <mergeCell ref="U223:V223"/>
    <mergeCell ref="Q219:R219"/>
    <mergeCell ref="S219:T219"/>
    <mergeCell ref="U219:V219"/>
    <mergeCell ref="W219:X219"/>
    <mergeCell ref="Y219:Z219"/>
    <mergeCell ref="C220:D220"/>
    <mergeCell ref="E220:F220"/>
    <mergeCell ref="G220:H220"/>
    <mergeCell ref="I220:J220"/>
    <mergeCell ref="K220:L220"/>
    <mergeCell ref="B218:B219"/>
    <mergeCell ref="C218:V218"/>
    <mergeCell ref="W218:Z218"/>
    <mergeCell ref="C219:D219"/>
    <mergeCell ref="E219:F219"/>
    <mergeCell ref="G219:H219"/>
    <mergeCell ref="I219:J219"/>
    <mergeCell ref="K219:L219"/>
    <mergeCell ref="M219:N219"/>
    <mergeCell ref="O219:P219"/>
    <mergeCell ref="I213:J213"/>
    <mergeCell ref="K213:L213"/>
    <mergeCell ref="M213:N213"/>
    <mergeCell ref="C212:D212"/>
    <mergeCell ref="E212:F212"/>
    <mergeCell ref="G212:H212"/>
    <mergeCell ref="I212:J212"/>
    <mergeCell ref="K212:L212"/>
    <mergeCell ref="M212:N212"/>
    <mergeCell ref="O212:P212"/>
    <mergeCell ref="Q212:R212"/>
    <mergeCell ref="K211:L211"/>
    <mergeCell ref="M211:N211"/>
    <mergeCell ref="O211:P211"/>
    <mergeCell ref="Q211:R211"/>
    <mergeCell ref="K205:L205"/>
    <mergeCell ref="M205:N205"/>
    <mergeCell ref="Q213:R213"/>
    <mergeCell ref="G213:H213"/>
    <mergeCell ref="C205:D205"/>
    <mergeCell ref="E205:F205"/>
    <mergeCell ref="E196:F196"/>
    <mergeCell ref="G196:H196"/>
    <mergeCell ref="I196:J196"/>
    <mergeCell ref="K196:L196"/>
    <mergeCell ref="M196:N196"/>
    <mergeCell ref="O196:P196"/>
    <mergeCell ref="Q196:R196"/>
    <mergeCell ref="K195:L195"/>
    <mergeCell ref="B210:B211"/>
    <mergeCell ref="C210:V210"/>
    <mergeCell ref="W210:Z210"/>
    <mergeCell ref="C211:D211"/>
    <mergeCell ref="E211:F211"/>
    <mergeCell ref="G211:H211"/>
    <mergeCell ref="I211:J211"/>
    <mergeCell ref="C208:F208"/>
    <mergeCell ref="G208:N208"/>
    <mergeCell ref="O208:R208"/>
    <mergeCell ref="S208:Z208"/>
    <mergeCell ref="S211:T211"/>
    <mergeCell ref="U211:V211"/>
    <mergeCell ref="G205:H205"/>
    <mergeCell ref="I205:J205"/>
    <mergeCell ref="S205:T205"/>
    <mergeCell ref="M204:N204"/>
    <mergeCell ref="O204:P204"/>
    <mergeCell ref="Q204:R204"/>
    <mergeCell ref="S204:T204"/>
    <mergeCell ref="U204:V204"/>
    <mergeCell ref="W204:X204"/>
    <mergeCell ref="W211:X211"/>
    <mergeCell ref="Y211:Z211"/>
    <mergeCell ref="Q203:R203"/>
    <mergeCell ref="S203:T203"/>
    <mergeCell ref="U203:V203"/>
    <mergeCell ref="W203:X203"/>
    <mergeCell ref="Y203:Z203"/>
    <mergeCell ref="U205:V205"/>
    <mergeCell ref="W205:X205"/>
    <mergeCell ref="Y205:Z205"/>
    <mergeCell ref="O205:P205"/>
    <mergeCell ref="Q205:R205"/>
    <mergeCell ref="B202:B203"/>
    <mergeCell ref="C202:V202"/>
    <mergeCell ref="W202:Z202"/>
    <mergeCell ref="C203:D203"/>
    <mergeCell ref="E203:F203"/>
    <mergeCell ref="G203:H203"/>
    <mergeCell ref="I203:J203"/>
    <mergeCell ref="K203:L203"/>
    <mergeCell ref="M203:N203"/>
    <mergeCell ref="O203:P203"/>
    <mergeCell ref="Y204:Z204"/>
    <mergeCell ref="O197:P197"/>
    <mergeCell ref="Q197:R197"/>
    <mergeCell ref="S197:T197"/>
    <mergeCell ref="U197:V197"/>
    <mergeCell ref="W197:X197"/>
    <mergeCell ref="Y197:Z197"/>
    <mergeCell ref="C197:D197"/>
    <mergeCell ref="E197:F197"/>
    <mergeCell ref="G197:H197"/>
    <mergeCell ref="I197:J197"/>
    <mergeCell ref="K197:L197"/>
    <mergeCell ref="M197:N197"/>
    <mergeCell ref="K204:L204"/>
    <mergeCell ref="C204:D204"/>
    <mergeCell ref="E204:F204"/>
    <mergeCell ref="G204:H204"/>
    <mergeCell ref="I204:J204"/>
    <mergeCell ref="B194:B195"/>
    <mergeCell ref="C194:V194"/>
    <mergeCell ref="O192:R192"/>
    <mergeCell ref="S192:Z192"/>
    <mergeCell ref="C188:D188"/>
    <mergeCell ref="E188:F188"/>
    <mergeCell ref="G188:H188"/>
    <mergeCell ref="I188:J188"/>
    <mergeCell ref="K188:L188"/>
    <mergeCell ref="M188:N188"/>
    <mergeCell ref="O188:P188"/>
    <mergeCell ref="Y189:Z189"/>
    <mergeCell ref="M189:N189"/>
    <mergeCell ref="O189:P189"/>
    <mergeCell ref="Q189:R189"/>
    <mergeCell ref="S189:T189"/>
    <mergeCell ref="U189:V189"/>
    <mergeCell ref="W189:X189"/>
    <mergeCell ref="Q188:R188"/>
    <mergeCell ref="S188:T188"/>
    <mergeCell ref="U188:V188"/>
    <mergeCell ref="W188:X188"/>
    <mergeCell ref="Y188:Z188"/>
    <mergeCell ref="C189:D189"/>
    <mergeCell ref="E189:F189"/>
    <mergeCell ref="G189:H189"/>
    <mergeCell ref="I189:J189"/>
    <mergeCell ref="K189:L189"/>
    <mergeCell ref="C192:F192"/>
    <mergeCell ref="I195:J195"/>
    <mergeCell ref="G192:N192"/>
    <mergeCell ref="W194:Z194"/>
    <mergeCell ref="C195:D195"/>
    <mergeCell ref="Y186:Z186"/>
    <mergeCell ref="C187:D187"/>
    <mergeCell ref="E187:F187"/>
    <mergeCell ref="G187:H187"/>
    <mergeCell ref="I187:J187"/>
    <mergeCell ref="K187:L187"/>
    <mergeCell ref="M187:N187"/>
    <mergeCell ref="O187:P187"/>
    <mergeCell ref="Q187:R187"/>
    <mergeCell ref="S187:T187"/>
    <mergeCell ref="M186:N186"/>
    <mergeCell ref="O186:P186"/>
    <mergeCell ref="Q186:R186"/>
    <mergeCell ref="S186:T186"/>
    <mergeCell ref="U186:V186"/>
    <mergeCell ref="W186:X186"/>
    <mergeCell ref="S195:T195"/>
    <mergeCell ref="U195:V195"/>
    <mergeCell ref="E195:F195"/>
    <mergeCell ref="G195:H195"/>
    <mergeCell ref="M195:N195"/>
    <mergeCell ref="O195:P195"/>
    <mergeCell ref="Q195:R195"/>
    <mergeCell ref="Q185:R185"/>
    <mergeCell ref="S185:T185"/>
    <mergeCell ref="U185:V185"/>
    <mergeCell ref="W185:X185"/>
    <mergeCell ref="Y185:Z185"/>
    <mergeCell ref="C186:D186"/>
    <mergeCell ref="E186:F186"/>
    <mergeCell ref="G186:H186"/>
    <mergeCell ref="I186:J186"/>
    <mergeCell ref="K186:L186"/>
    <mergeCell ref="U187:V187"/>
    <mergeCell ref="W187:X187"/>
    <mergeCell ref="Y187:Z187"/>
    <mergeCell ref="U184:V184"/>
    <mergeCell ref="W184:X184"/>
    <mergeCell ref="Y184:Z184"/>
    <mergeCell ref="C185:D185"/>
    <mergeCell ref="E185:F185"/>
    <mergeCell ref="G185:H185"/>
    <mergeCell ref="I185:J185"/>
    <mergeCell ref="K185:L185"/>
    <mergeCell ref="M185:N185"/>
    <mergeCell ref="O185:P185"/>
    <mergeCell ref="Y183:Z183"/>
    <mergeCell ref="C184:D184"/>
    <mergeCell ref="E184:F184"/>
    <mergeCell ref="G184:H184"/>
    <mergeCell ref="I184:J184"/>
    <mergeCell ref="K184:L184"/>
    <mergeCell ref="M184:N184"/>
    <mergeCell ref="O184:P184"/>
    <mergeCell ref="Q184:R184"/>
    <mergeCell ref="S184:T184"/>
    <mergeCell ref="M183:N183"/>
    <mergeCell ref="O183:P183"/>
    <mergeCell ref="Q183:R183"/>
    <mergeCell ref="S183:T183"/>
    <mergeCell ref="U183:V183"/>
    <mergeCell ref="W183:X183"/>
    <mergeCell ref="Q182:R182"/>
    <mergeCell ref="S182:T182"/>
    <mergeCell ref="U182:V182"/>
    <mergeCell ref="W182:X182"/>
    <mergeCell ref="Y182:Z182"/>
    <mergeCell ref="C183:D183"/>
    <mergeCell ref="E183:F183"/>
    <mergeCell ref="G183:H183"/>
    <mergeCell ref="I183:J183"/>
    <mergeCell ref="K183:L183"/>
    <mergeCell ref="U181:V181"/>
    <mergeCell ref="W181:X181"/>
    <mergeCell ref="Y181:Z181"/>
    <mergeCell ref="C182:D182"/>
    <mergeCell ref="E182:F182"/>
    <mergeCell ref="G182:H182"/>
    <mergeCell ref="I182:J182"/>
    <mergeCell ref="K182:L182"/>
    <mergeCell ref="M182:N182"/>
    <mergeCell ref="O182:P182"/>
    <mergeCell ref="G176:N176"/>
    <mergeCell ref="O176:R176"/>
    <mergeCell ref="S176:Z176"/>
    <mergeCell ref="C172:D172"/>
    <mergeCell ref="E172:F172"/>
    <mergeCell ref="Y180:Z180"/>
    <mergeCell ref="C181:D181"/>
    <mergeCell ref="E181:F181"/>
    <mergeCell ref="G181:H181"/>
    <mergeCell ref="I181:J181"/>
    <mergeCell ref="K181:L181"/>
    <mergeCell ref="M181:N181"/>
    <mergeCell ref="O181:P181"/>
    <mergeCell ref="Q181:R181"/>
    <mergeCell ref="S181:T181"/>
    <mergeCell ref="M180:N180"/>
    <mergeCell ref="O180:P180"/>
    <mergeCell ref="Q180:R180"/>
    <mergeCell ref="S180:T180"/>
    <mergeCell ref="U180:V180"/>
    <mergeCell ref="W180:X180"/>
    <mergeCell ref="Q179:R179"/>
    <mergeCell ref="K180:L180"/>
    <mergeCell ref="B170:B171"/>
    <mergeCell ref="C170:V170"/>
    <mergeCell ref="W170:Z170"/>
    <mergeCell ref="C171:D171"/>
    <mergeCell ref="E171:F171"/>
    <mergeCell ref="G171:H171"/>
    <mergeCell ref="I171:J171"/>
    <mergeCell ref="C165:D165"/>
    <mergeCell ref="E165:F165"/>
    <mergeCell ref="G165:H165"/>
    <mergeCell ref="I165:J165"/>
    <mergeCell ref="K165:L165"/>
    <mergeCell ref="M165:N165"/>
    <mergeCell ref="O165:P165"/>
    <mergeCell ref="Q165:R165"/>
    <mergeCell ref="S165:T165"/>
    <mergeCell ref="B178:B179"/>
    <mergeCell ref="C178:V178"/>
    <mergeCell ref="W178:Z178"/>
    <mergeCell ref="C179:D179"/>
    <mergeCell ref="E179:F179"/>
    <mergeCell ref="G179:H179"/>
    <mergeCell ref="I179:J179"/>
    <mergeCell ref="G172:H172"/>
    <mergeCell ref="I172:J172"/>
    <mergeCell ref="K172:L172"/>
    <mergeCell ref="M172:N172"/>
    <mergeCell ref="O172:P172"/>
    <mergeCell ref="Q172:R172"/>
    <mergeCell ref="K171:L171"/>
    <mergeCell ref="M171:N171"/>
    <mergeCell ref="O171:P171"/>
    <mergeCell ref="Q171:R171"/>
    <mergeCell ref="S171:T171"/>
    <mergeCell ref="U171:V171"/>
    <mergeCell ref="U165:V165"/>
    <mergeCell ref="S179:T179"/>
    <mergeCell ref="U179:V179"/>
    <mergeCell ref="W179:X179"/>
    <mergeCell ref="Y179:Z179"/>
    <mergeCell ref="W165:X165"/>
    <mergeCell ref="Y165:Z165"/>
    <mergeCell ref="S172:T172"/>
    <mergeCell ref="U172:V172"/>
    <mergeCell ref="W172:X172"/>
    <mergeCell ref="Y172:Z172"/>
    <mergeCell ref="C167:H167"/>
    <mergeCell ref="B162:B163"/>
    <mergeCell ref="W162:Z162"/>
    <mergeCell ref="C162:V162"/>
    <mergeCell ref="C163:D163"/>
    <mergeCell ref="E163:F163"/>
    <mergeCell ref="G163:H163"/>
    <mergeCell ref="I163:J163"/>
    <mergeCell ref="K163:L163"/>
    <mergeCell ref="M163:N163"/>
    <mergeCell ref="O163:P163"/>
    <mergeCell ref="Y164:Z164"/>
    <mergeCell ref="I167:N167"/>
    <mergeCell ref="O167:T167"/>
    <mergeCell ref="U167:Z167"/>
    <mergeCell ref="W171:X171"/>
    <mergeCell ref="Y171:Z171"/>
    <mergeCell ref="Q163:R163"/>
    <mergeCell ref="S163:T163"/>
    <mergeCell ref="U163:V163"/>
    <mergeCell ref="W163:X163"/>
    <mergeCell ref="Y163:Z163"/>
    <mergeCell ref="C164:D164"/>
    <mergeCell ref="E164:F164"/>
    <mergeCell ref="G164:H164"/>
    <mergeCell ref="I164:J164"/>
    <mergeCell ref="O153:R153"/>
    <mergeCell ref="S153:V153"/>
    <mergeCell ref="W153:Z153"/>
    <mergeCell ref="C152:F152"/>
    <mergeCell ref="G152:J152"/>
    <mergeCell ref="K152:N152"/>
    <mergeCell ref="O152:R152"/>
    <mergeCell ref="S152:V152"/>
    <mergeCell ref="W152:Z152"/>
    <mergeCell ref="C153:F153"/>
    <mergeCell ref="G153:J153"/>
    <mergeCell ref="K153:N153"/>
    <mergeCell ref="H160:T160"/>
    <mergeCell ref="M164:N164"/>
    <mergeCell ref="O164:P164"/>
    <mergeCell ref="Q164:R164"/>
    <mergeCell ref="S164:T164"/>
    <mergeCell ref="U164:V164"/>
    <mergeCell ref="W164:X164"/>
    <mergeCell ref="C157:F157"/>
    <mergeCell ref="G157:J157"/>
    <mergeCell ref="K164:L164"/>
    <mergeCell ref="S154:V154"/>
    <mergeCell ref="K148:N148"/>
    <mergeCell ref="O148:R148"/>
    <mergeCell ref="S148:V148"/>
    <mergeCell ref="W148:Z148"/>
    <mergeCell ref="G146:J146"/>
    <mergeCell ref="K146:N146"/>
    <mergeCell ref="O146:R146"/>
    <mergeCell ref="S146:V146"/>
    <mergeCell ref="W146:Z146"/>
    <mergeCell ref="C147:F147"/>
    <mergeCell ref="G147:J147"/>
    <mergeCell ref="K147:N147"/>
    <mergeCell ref="O147:R147"/>
    <mergeCell ref="S147:V147"/>
    <mergeCell ref="C146:F146"/>
    <mergeCell ref="W138:Z138"/>
    <mergeCell ref="T137:V137"/>
    <mergeCell ref="H138:J138"/>
    <mergeCell ref="K138:M138"/>
    <mergeCell ref="N138:P138"/>
    <mergeCell ref="Q138:S138"/>
    <mergeCell ref="T138:V138"/>
    <mergeCell ref="W137:Z137"/>
    <mergeCell ref="E136:V136"/>
    <mergeCell ref="B138:D138"/>
    <mergeCell ref="E137:G137"/>
    <mergeCell ref="E138:G138"/>
    <mergeCell ref="H137:J137"/>
    <mergeCell ref="K137:M137"/>
    <mergeCell ref="N137:P137"/>
    <mergeCell ref="B144:B145"/>
    <mergeCell ref="W144:Z144"/>
    <mergeCell ref="C145:F145"/>
    <mergeCell ref="G145:J145"/>
    <mergeCell ref="K145:N145"/>
    <mergeCell ref="O145:R145"/>
    <mergeCell ref="S145:V145"/>
    <mergeCell ref="W145:Z145"/>
    <mergeCell ref="W140:Z140"/>
    <mergeCell ref="B141:B142"/>
    <mergeCell ref="C141:N141"/>
    <mergeCell ref="O141:Z141"/>
    <mergeCell ref="C142:N142"/>
    <mergeCell ref="O142:Z142"/>
    <mergeCell ref="C144:V144"/>
    <mergeCell ref="C140:V140"/>
    <mergeCell ref="U131:V131"/>
    <mergeCell ref="W131:X131"/>
    <mergeCell ref="Y131:Z131"/>
    <mergeCell ref="W136:Z136"/>
    <mergeCell ref="B136:D137"/>
    <mergeCell ref="Y130:Z130"/>
    <mergeCell ref="C131:D131"/>
    <mergeCell ref="E131:F131"/>
    <mergeCell ref="G131:H131"/>
    <mergeCell ref="I131:J131"/>
    <mergeCell ref="K131:L131"/>
    <mergeCell ref="M131:N131"/>
    <mergeCell ref="O131:P131"/>
    <mergeCell ref="Q131:R131"/>
    <mergeCell ref="S131:T131"/>
    <mergeCell ref="M130:N130"/>
    <mergeCell ref="O130:P130"/>
    <mergeCell ref="Q130:R130"/>
    <mergeCell ref="S130:T130"/>
    <mergeCell ref="U130:V130"/>
    <mergeCell ref="W130:X130"/>
    <mergeCell ref="C133:F133"/>
    <mergeCell ref="G133:J133"/>
    <mergeCell ref="K133:N133"/>
    <mergeCell ref="O133:R133"/>
    <mergeCell ref="S133:V133"/>
    <mergeCell ref="W133:Z133"/>
    <mergeCell ref="C134:F134"/>
    <mergeCell ref="G134:N134"/>
    <mergeCell ref="O134:R134"/>
    <mergeCell ref="S134:Z134"/>
    <mergeCell ref="Q137:S137"/>
    <mergeCell ref="Q129:R129"/>
    <mergeCell ref="S129:T129"/>
    <mergeCell ref="U129:V129"/>
    <mergeCell ref="W129:X129"/>
    <mergeCell ref="Y129:Z129"/>
    <mergeCell ref="C130:D130"/>
    <mergeCell ref="E130:F130"/>
    <mergeCell ref="G130:H130"/>
    <mergeCell ref="I130:J130"/>
    <mergeCell ref="K130:L130"/>
    <mergeCell ref="U128:V128"/>
    <mergeCell ref="W128:X128"/>
    <mergeCell ref="Y128:Z128"/>
    <mergeCell ref="C129:D129"/>
    <mergeCell ref="E129:F129"/>
    <mergeCell ref="G129:H129"/>
    <mergeCell ref="I129:J129"/>
    <mergeCell ref="K129:L129"/>
    <mergeCell ref="M129:N129"/>
    <mergeCell ref="O129:P129"/>
    <mergeCell ref="Y127:Z127"/>
    <mergeCell ref="C128:D128"/>
    <mergeCell ref="E128:F128"/>
    <mergeCell ref="G128:H128"/>
    <mergeCell ref="I128:J128"/>
    <mergeCell ref="K128:L128"/>
    <mergeCell ref="M128:N128"/>
    <mergeCell ref="O128:P128"/>
    <mergeCell ref="Q128:R128"/>
    <mergeCell ref="S128:T128"/>
    <mergeCell ref="M127:N127"/>
    <mergeCell ref="O127:P127"/>
    <mergeCell ref="Q127:R127"/>
    <mergeCell ref="S127:T127"/>
    <mergeCell ref="U127:V127"/>
    <mergeCell ref="W127:X127"/>
    <mergeCell ref="Q126:R126"/>
    <mergeCell ref="S126:T126"/>
    <mergeCell ref="U126:V126"/>
    <mergeCell ref="W126:X126"/>
    <mergeCell ref="Y126:Z126"/>
    <mergeCell ref="C127:D127"/>
    <mergeCell ref="E127:F127"/>
    <mergeCell ref="G127:H127"/>
    <mergeCell ref="I127:J127"/>
    <mergeCell ref="K127:L127"/>
    <mergeCell ref="B125:B126"/>
    <mergeCell ref="C125:V125"/>
    <mergeCell ref="W125:Z125"/>
    <mergeCell ref="C126:D126"/>
    <mergeCell ref="E126:F126"/>
    <mergeCell ref="G126:H126"/>
    <mergeCell ref="I126:J126"/>
    <mergeCell ref="K126:L126"/>
    <mergeCell ref="M126:N126"/>
    <mergeCell ref="O126:P126"/>
    <mergeCell ref="O120:P120"/>
    <mergeCell ref="Q120:R120"/>
    <mergeCell ref="S120:T120"/>
    <mergeCell ref="U120:V120"/>
    <mergeCell ref="W120:X120"/>
    <mergeCell ref="Y120:Z120"/>
    <mergeCell ref="C120:D120"/>
    <mergeCell ref="E120:F120"/>
    <mergeCell ref="G120:H120"/>
    <mergeCell ref="I120:J120"/>
    <mergeCell ref="K120:L120"/>
    <mergeCell ref="M120:N120"/>
    <mergeCell ref="C122:F122"/>
    <mergeCell ref="G122:J122"/>
    <mergeCell ref="K122:N122"/>
    <mergeCell ref="O122:R122"/>
    <mergeCell ref="S122:V122"/>
    <mergeCell ref="W122:Z122"/>
    <mergeCell ref="C123:F123"/>
    <mergeCell ref="G123:N123"/>
    <mergeCell ref="O123:R123"/>
    <mergeCell ref="S123:Z123"/>
    <mergeCell ref="O119:P119"/>
    <mergeCell ref="Q119:R119"/>
    <mergeCell ref="S119:T119"/>
    <mergeCell ref="U119:V119"/>
    <mergeCell ref="W119:X119"/>
    <mergeCell ref="Y119:Z119"/>
    <mergeCell ref="C119:D119"/>
    <mergeCell ref="E119:F119"/>
    <mergeCell ref="G119:H119"/>
    <mergeCell ref="I119:J119"/>
    <mergeCell ref="K119:L119"/>
    <mergeCell ref="M119:N119"/>
    <mergeCell ref="O118:P118"/>
    <mergeCell ref="Q118:R118"/>
    <mergeCell ref="S118:T118"/>
    <mergeCell ref="U118:V118"/>
    <mergeCell ref="W118:X118"/>
    <mergeCell ref="Y118:Z118"/>
    <mergeCell ref="C118:D118"/>
    <mergeCell ref="E118:F118"/>
    <mergeCell ref="G118:H118"/>
    <mergeCell ref="I118:J118"/>
    <mergeCell ref="K118:L118"/>
    <mergeCell ref="M118:N118"/>
    <mergeCell ref="O117:P117"/>
    <mergeCell ref="Q117:R117"/>
    <mergeCell ref="S117:T117"/>
    <mergeCell ref="U117:V117"/>
    <mergeCell ref="W117:X117"/>
    <mergeCell ref="Y117:Z117"/>
    <mergeCell ref="S116:T116"/>
    <mergeCell ref="U116:V116"/>
    <mergeCell ref="W116:X116"/>
    <mergeCell ref="Y116:Z116"/>
    <mergeCell ref="C117:D117"/>
    <mergeCell ref="E117:F117"/>
    <mergeCell ref="G117:H117"/>
    <mergeCell ref="I117:J117"/>
    <mergeCell ref="K117:L117"/>
    <mergeCell ref="M117:N117"/>
    <mergeCell ref="W115:X115"/>
    <mergeCell ref="Y115:Z115"/>
    <mergeCell ref="C116:D116"/>
    <mergeCell ref="E116:F116"/>
    <mergeCell ref="G116:H116"/>
    <mergeCell ref="I116:J116"/>
    <mergeCell ref="K116:L116"/>
    <mergeCell ref="M116:N116"/>
    <mergeCell ref="O116:P116"/>
    <mergeCell ref="Q116:R116"/>
    <mergeCell ref="K115:L115"/>
    <mergeCell ref="M115:N115"/>
    <mergeCell ref="O115:P115"/>
    <mergeCell ref="Q115:R115"/>
    <mergeCell ref="S115:T115"/>
    <mergeCell ref="U115:V115"/>
    <mergeCell ref="O112:Z112"/>
    <mergeCell ref="B114:B115"/>
    <mergeCell ref="W114:Z114"/>
    <mergeCell ref="C114:V114"/>
    <mergeCell ref="C115:D115"/>
    <mergeCell ref="E115:F115"/>
    <mergeCell ref="G115:H115"/>
    <mergeCell ref="I115:J115"/>
    <mergeCell ref="B111:B112"/>
    <mergeCell ref="C110:V110"/>
    <mergeCell ref="C111:N111"/>
    <mergeCell ref="O111:Z111"/>
    <mergeCell ref="C112:N112"/>
    <mergeCell ref="Y103:Z103"/>
    <mergeCell ref="V108:Y108"/>
    <mergeCell ref="W110:Z110"/>
    <mergeCell ref="M103:N103"/>
    <mergeCell ref="O103:P103"/>
    <mergeCell ref="Q103:R103"/>
    <mergeCell ref="S103:T103"/>
    <mergeCell ref="U103:V103"/>
    <mergeCell ref="W103:X103"/>
    <mergeCell ref="C106:F106"/>
    <mergeCell ref="G106:N106"/>
    <mergeCell ref="O106:R106"/>
    <mergeCell ref="S106:Z106"/>
    <mergeCell ref="G104:H104"/>
    <mergeCell ref="Q102:R102"/>
    <mergeCell ref="S102:T102"/>
    <mergeCell ref="U102:V102"/>
    <mergeCell ref="W102:X102"/>
    <mergeCell ref="Y102:Z102"/>
    <mergeCell ref="C103:D103"/>
    <mergeCell ref="E103:F103"/>
    <mergeCell ref="G103:H103"/>
    <mergeCell ref="I103:J103"/>
    <mergeCell ref="K103:L103"/>
    <mergeCell ref="U101:V101"/>
    <mergeCell ref="W101:X101"/>
    <mergeCell ref="Y101:Z101"/>
    <mergeCell ref="C102:D102"/>
    <mergeCell ref="E102:F102"/>
    <mergeCell ref="G102:H102"/>
    <mergeCell ref="I102:J102"/>
    <mergeCell ref="K102:L102"/>
    <mergeCell ref="M102:N102"/>
    <mergeCell ref="O102:P102"/>
    <mergeCell ref="Y100:Z100"/>
    <mergeCell ref="C101:D101"/>
    <mergeCell ref="E101:F101"/>
    <mergeCell ref="G101:H101"/>
    <mergeCell ref="I101:J101"/>
    <mergeCell ref="K101:L101"/>
    <mergeCell ref="M101:N101"/>
    <mergeCell ref="O101:P101"/>
    <mergeCell ref="Q101:R101"/>
    <mergeCell ref="S101:T101"/>
    <mergeCell ref="M100:N100"/>
    <mergeCell ref="O100:P100"/>
    <mergeCell ref="Q100:R100"/>
    <mergeCell ref="S100:T100"/>
    <mergeCell ref="U100:V100"/>
    <mergeCell ref="W100:X100"/>
    <mergeCell ref="Q99:R99"/>
    <mergeCell ref="S99:T99"/>
    <mergeCell ref="U99:V99"/>
    <mergeCell ref="W99:X99"/>
    <mergeCell ref="Y99:Z99"/>
    <mergeCell ref="C100:D100"/>
    <mergeCell ref="E100:F100"/>
    <mergeCell ref="G100:H100"/>
    <mergeCell ref="I100:J100"/>
    <mergeCell ref="K100:L100"/>
    <mergeCell ref="U98:V98"/>
    <mergeCell ref="W98:X98"/>
    <mergeCell ref="Y98:Z98"/>
    <mergeCell ref="C99:D99"/>
    <mergeCell ref="E99:F99"/>
    <mergeCell ref="G99:H99"/>
    <mergeCell ref="I99:J99"/>
    <mergeCell ref="K99:L99"/>
    <mergeCell ref="M99:N99"/>
    <mergeCell ref="O99:P99"/>
    <mergeCell ref="Y97:Z97"/>
    <mergeCell ref="C98:D98"/>
    <mergeCell ref="E98:F98"/>
    <mergeCell ref="G98:H98"/>
    <mergeCell ref="I98:J98"/>
    <mergeCell ref="K98:L98"/>
    <mergeCell ref="M98:N98"/>
    <mergeCell ref="O98:P98"/>
    <mergeCell ref="Q98:R98"/>
    <mergeCell ref="S98:T98"/>
    <mergeCell ref="M97:N97"/>
    <mergeCell ref="O97:P97"/>
    <mergeCell ref="Q97:R97"/>
    <mergeCell ref="S97:T97"/>
    <mergeCell ref="U97:V97"/>
    <mergeCell ref="W97:X97"/>
    <mergeCell ref="Q96:R96"/>
    <mergeCell ref="S96:T96"/>
    <mergeCell ref="U96:V96"/>
    <mergeCell ref="W96:X96"/>
    <mergeCell ref="Y96:Z96"/>
    <mergeCell ref="C97:D97"/>
    <mergeCell ref="E97:F97"/>
    <mergeCell ref="G97:H97"/>
    <mergeCell ref="I97:J97"/>
    <mergeCell ref="K97:L97"/>
    <mergeCell ref="U95:V95"/>
    <mergeCell ref="W95:X95"/>
    <mergeCell ref="Y95:Z95"/>
    <mergeCell ref="C96:D96"/>
    <mergeCell ref="E96:F96"/>
    <mergeCell ref="G96:H96"/>
    <mergeCell ref="I96:J96"/>
    <mergeCell ref="K96:L96"/>
    <mergeCell ref="M96:N96"/>
    <mergeCell ref="O96:P96"/>
    <mergeCell ref="C95:D95"/>
    <mergeCell ref="E95:F95"/>
    <mergeCell ref="G95:H95"/>
    <mergeCell ref="I95:J95"/>
    <mergeCell ref="K95:L95"/>
    <mergeCell ref="M95:N95"/>
    <mergeCell ref="O95:P95"/>
    <mergeCell ref="Q95:R95"/>
    <mergeCell ref="S95:T95"/>
    <mergeCell ref="M94:N94"/>
    <mergeCell ref="O94:P94"/>
    <mergeCell ref="Q94:R94"/>
    <mergeCell ref="S94:T94"/>
    <mergeCell ref="U94:V94"/>
    <mergeCell ref="W94:X94"/>
    <mergeCell ref="Y50:Z50"/>
    <mergeCell ref="U93:V93"/>
    <mergeCell ref="W93:X93"/>
    <mergeCell ref="Y93:Z93"/>
    <mergeCell ref="Y92:Z92"/>
    <mergeCell ref="C93:D93"/>
    <mergeCell ref="E93:F93"/>
    <mergeCell ref="G93:H93"/>
    <mergeCell ref="I93:J93"/>
    <mergeCell ref="K93:L93"/>
    <mergeCell ref="M93:N93"/>
    <mergeCell ref="O93:P93"/>
    <mergeCell ref="Q93:R93"/>
    <mergeCell ref="S93:T93"/>
    <mergeCell ref="M92:N92"/>
    <mergeCell ref="O92:P92"/>
    <mergeCell ref="Q92:R92"/>
    <mergeCell ref="S92:T92"/>
    <mergeCell ref="U92:V92"/>
    <mergeCell ref="W92:X92"/>
    <mergeCell ref="Q91:R91"/>
    <mergeCell ref="S91:T91"/>
    <mergeCell ref="U91:V91"/>
    <mergeCell ref="W91:X91"/>
    <mergeCell ref="Y91:Z91"/>
    <mergeCell ref="C92:D92"/>
    <mergeCell ref="V3:Y3"/>
    <mergeCell ref="V55:Y55"/>
    <mergeCell ref="C94:D94"/>
    <mergeCell ref="E94:F94"/>
    <mergeCell ref="G94:H94"/>
    <mergeCell ref="I94:J94"/>
    <mergeCell ref="K94:L94"/>
    <mergeCell ref="Y49:Z49"/>
    <mergeCell ref="C50:D50"/>
    <mergeCell ref="E50:F50"/>
    <mergeCell ref="G50:H50"/>
    <mergeCell ref="I50:J50"/>
    <mergeCell ref="M50:N50"/>
    <mergeCell ref="O50:P50"/>
    <mergeCell ref="S50:T50"/>
    <mergeCell ref="U50:V50"/>
    <mergeCell ref="W50:X50"/>
    <mergeCell ref="Y48:Z48"/>
    <mergeCell ref="C49:D49"/>
    <mergeCell ref="E49:F49"/>
    <mergeCell ref="G49:H49"/>
    <mergeCell ref="I49:J49"/>
    <mergeCell ref="M49:N49"/>
    <mergeCell ref="O49:P49"/>
    <mergeCell ref="S49:T49"/>
    <mergeCell ref="U49:V49"/>
    <mergeCell ref="W49:X49"/>
    <mergeCell ref="Y47:Z47"/>
    <mergeCell ref="C48:D48"/>
    <mergeCell ref="E48:F48"/>
    <mergeCell ref="Y94:Z94"/>
    <mergeCell ref="R10:U10"/>
    <mergeCell ref="G48:H48"/>
    <mergeCell ref="I48:J48"/>
    <mergeCell ref="M48:N48"/>
    <mergeCell ref="O48:P48"/>
    <mergeCell ref="S48:T48"/>
    <mergeCell ref="U48:V48"/>
    <mergeCell ref="W48:X48"/>
    <mergeCell ref="Y46:Z46"/>
    <mergeCell ref="C47:D47"/>
    <mergeCell ref="E47:F47"/>
    <mergeCell ref="G47:H47"/>
    <mergeCell ref="I47:J47"/>
    <mergeCell ref="M47:N47"/>
    <mergeCell ref="O47:P47"/>
    <mergeCell ref="S47:T47"/>
    <mergeCell ref="U47:V47"/>
    <mergeCell ref="W47:X47"/>
    <mergeCell ref="K47:L47"/>
    <mergeCell ref="K48:L48"/>
    <mergeCell ref="Y45:Z45"/>
    <mergeCell ref="C46:D46"/>
    <mergeCell ref="E46:F46"/>
    <mergeCell ref="G46:H46"/>
    <mergeCell ref="I46:J46"/>
    <mergeCell ref="M46:N46"/>
    <mergeCell ref="O46:P46"/>
    <mergeCell ref="S46:T46"/>
    <mergeCell ref="U46:V46"/>
    <mergeCell ref="W46:X46"/>
    <mergeCell ref="Y44:Z44"/>
    <mergeCell ref="C45:D45"/>
    <mergeCell ref="E45:F45"/>
    <mergeCell ref="G45:H45"/>
    <mergeCell ref="I45:J45"/>
    <mergeCell ref="M45:N45"/>
    <mergeCell ref="O45:P45"/>
    <mergeCell ref="S45:T45"/>
    <mergeCell ref="U45:V45"/>
    <mergeCell ref="W45:X45"/>
    <mergeCell ref="K45:L45"/>
    <mergeCell ref="K46:L46"/>
    <mergeCell ref="Y43:Z43"/>
    <mergeCell ref="C44:D44"/>
    <mergeCell ref="E44:F44"/>
    <mergeCell ref="G44:H44"/>
    <mergeCell ref="I44:J44"/>
    <mergeCell ref="M44:N44"/>
    <mergeCell ref="O44:P44"/>
    <mergeCell ref="S44:T44"/>
    <mergeCell ref="U44:V44"/>
    <mergeCell ref="W44:X44"/>
    <mergeCell ref="Y42:Z42"/>
    <mergeCell ref="C43:D43"/>
    <mergeCell ref="E43:F43"/>
    <mergeCell ref="G43:H43"/>
    <mergeCell ref="I43:J43"/>
    <mergeCell ref="M43:N43"/>
    <mergeCell ref="O43:P43"/>
    <mergeCell ref="S43:T43"/>
    <mergeCell ref="U43:V43"/>
    <mergeCell ref="W43:X43"/>
    <mergeCell ref="Y41:Z41"/>
    <mergeCell ref="C42:D42"/>
    <mergeCell ref="E42:F42"/>
    <mergeCell ref="G42:H42"/>
    <mergeCell ref="I42:J42"/>
    <mergeCell ref="M42:N42"/>
    <mergeCell ref="O42:P42"/>
    <mergeCell ref="S42:T42"/>
    <mergeCell ref="U42:V42"/>
    <mergeCell ref="W42:X42"/>
    <mergeCell ref="Y40:Z40"/>
    <mergeCell ref="C41:D41"/>
    <mergeCell ref="E41:F41"/>
    <mergeCell ref="G41:H41"/>
    <mergeCell ref="I41:J41"/>
    <mergeCell ref="M41:N41"/>
    <mergeCell ref="O41:P41"/>
    <mergeCell ref="S41:T41"/>
    <mergeCell ref="U41:V41"/>
    <mergeCell ref="W41:X41"/>
    <mergeCell ref="K41:L41"/>
    <mergeCell ref="K42:L42"/>
    <mergeCell ref="Q41:R41"/>
    <mergeCell ref="Q42:R42"/>
    <mergeCell ref="Y39:Z39"/>
    <mergeCell ref="C40:D40"/>
    <mergeCell ref="E40:F40"/>
    <mergeCell ref="G40:H40"/>
    <mergeCell ref="I40:J40"/>
    <mergeCell ref="M40:N40"/>
    <mergeCell ref="O40:P40"/>
    <mergeCell ref="S40:T40"/>
    <mergeCell ref="U40:V40"/>
    <mergeCell ref="W40:X40"/>
    <mergeCell ref="Y38:Z38"/>
    <mergeCell ref="C39:D39"/>
    <mergeCell ref="E39:F39"/>
    <mergeCell ref="G39:H39"/>
    <mergeCell ref="I39:J39"/>
    <mergeCell ref="M39:N39"/>
    <mergeCell ref="O39:P39"/>
    <mergeCell ref="S39:T39"/>
    <mergeCell ref="U39:V39"/>
    <mergeCell ref="W39:X39"/>
    <mergeCell ref="K39:L39"/>
    <mergeCell ref="K40:L40"/>
    <mergeCell ref="Q39:R39"/>
    <mergeCell ref="Q40:R40"/>
    <mergeCell ref="Y37:Z37"/>
    <mergeCell ref="C38:D38"/>
    <mergeCell ref="E38:F38"/>
    <mergeCell ref="G38:H38"/>
    <mergeCell ref="I38:J38"/>
    <mergeCell ref="M38:N38"/>
    <mergeCell ref="O38:P38"/>
    <mergeCell ref="S38:T38"/>
    <mergeCell ref="U38:V38"/>
    <mergeCell ref="W38:X38"/>
    <mergeCell ref="Y36:Z36"/>
    <mergeCell ref="C37:D37"/>
    <mergeCell ref="E37:F37"/>
    <mergeCell ref="G37:H37"/>
    <mergeCell ref="I37:J37"/>
    <mergeCell ref="M37:N37"/>
    <mergeCell ref="O37:P37"/>
    <mergeCell ref="S37:T37"/>
    <mergeCell ref="U37:V37"/>
    <mergeCell ref="W37:X37"/>
    <mergeCell ref="K37:L37"/>
    <mergeCell ref="K38:L38"/>
    <mergeCell ref="Y35:Z35"/>
    <mergeCell ref="C36:D36"/>
    <mergeCell ref="E36:F36"/>
    <mergeCell ref="G36:H36"/>
    <mergeCell ref="I36:J36"/>
    <mergeCell ref="M36:N36"/>
    <mergeCell ref="O36:P36"/>
    <mergeCell ref="S36:T36"/>
    <mergeCell ref="U36:V36"/>
    <mergeCell ref="W36:X36"/>
    <mergeCell ref="Y34:Z34"/>
    <mergeCell ref="C35:D35"/>
    <mergeCell ref="E35:F35"/>
    <mergeCell ref="G35:H35"/>
    <mergeCell ref="I35:J35"/>
    <mergeCell ref="M35:N35"/>
    <mergeCell ref="O35:P35"/>
    <mergeCell ref="S35:T35"/>
    <mergeCell ref="U35:V35"/>
    <mergeCell ref="W35:X35"/>
    <mergeCell ref="Q35:R35"/>
    <mergeCell ref="Q36:R36"/>
    <mergeCell ref="K35:L35"/>
    <mergeCell ref="K36:L36"/>
    <mergeCell ref="Y33:Z33"/>
    <mergeCell ref="C34:D34"/>
    <mergeCell ref="E34:F34"/>
    <mergeCell ref="G34:H34"/>
    <mergeCell ref="I34:J34"/>
    <mergeCell ref="M34:N34"/>
    <mergeCell ref="O34:P34"/>
    <mergeCell ref="S34:T34"/>
    <mergeCell ref="U34:V34"/>
    <mergeCell ref="W34:X34"/>
    <mergeCell ref="Y32:Z32"/>
    <mergeCell ref="C33:D33"/>
    <mergeCell ref="E33:F33"/>
    <mergeCell ref="G33:H33"/>
    <mergeCell ref="I33:J33"/>
    <mergeCell ref="M33:N33"/>
    <mergeCell ref="O33:P33"/>
    <mergeCell ref="S33:T33"/>
    <mergeCell ref="U33:V33"/>
    <mergeCell ref="W33:X33"/>
    <mergeCell ref="Q33:R33"/>
    <mergeCell ref="Q34:R34"/>
    <mergeCell ref="K33:L33"/>
    <mergeCell ref="K34:L34"/>
    <mergeCell ref="Y31:Z31"/>
    <mergeCell ref="C32:D32"/>
    <mergeCell ref="E32:F32"/>
    <mergeCell ref="G32:H32"/>
    <mergeCell ref="I32:J32"/>
    <mergeCell ref="M32:N32"/>
    <mergeCell ref="O32:P32"/>
    <mergeCell ref="S32:T32"/>
    <mergeCell ref="U32:V32"/>
    <mergeCell ref="W32:X32"/>
    <mergeCell ref="Y30:Z30"/>
    <mergeCell ref="C31:D31"/>
    <mergeCell ref="E31:F31"/>
    <mergeCell ref="G31:H31"/>
    <mergeCell ref="I31:J31"/>
    <mergeCell ref="M31:N31"/>
    <mergeCell ref="O31:P31"/>
    <mergeCell ref="S31:T31"/>
    <mergeCell ref="U31:V31"/>
    <mergeCell ref="W31:X31"/>
    <mergeCell ref="Q31:R31"/>
    <mergeCell ref="Q32:R32"/>
    <mergeCell ref="K31:L31"/>
    <mergeCell ref="K32:L32"/>
    <mergeCell ref="Y29:Z29"/>
    <mergeCell ref="C30:D30"/>
    <mergeCell ref="E30:F30"/>
    <mergeCell ref="G30:H30"/>
    <mergeCell ref="I30:J30"/>
    <mergeCell ref="M30:N30"/>
    <mergeCell ref="O30:P30"/>
    <mergeCell ref="S30:T30"/>
    <mergeCell ref="U30:V30"/>
    <mergeCell ref="W30:X30"/>
    <mergeCell ref="Y28:Z28"/>
    <mergeCell ref="C29:D29"/>
    <mergeCell ref="E29:F29"/>
    <mergeCell ref="G29:H29"/>
    <mergeCell ref="I29:J29"/>
    <mergeCell ref="M29:N29"/>
    <mergeCell ref="O29:P29"/>
    <mergeCell ref="S29:T29"/>
    <mergeCell ref="U29:V29"/>
    <mergeCell ref="W29:X29"/>
    <mergeCell ref="Q29:R29"/>
    <mergeCell ref="Q30:R30"/>
    <mergeCell ref="K29:L29"/>
    <mergeCell ref="K30:L30"/>
    <mergeCell ref="Y27:Z27"/>
    <mergeCell ref="C28:D28"/>
    <mergeCell ref="E28:F28"/>
    <mergeCell ref="G28:H28"/>
    <mergeCell ref="I28:J28"/>
    <mergeCell ref="M28:N28"/>
    <mergeCell ref="O28:P28"/>
    <mergeCell ref="S28:T28"/>
    <mergeCell ref="U28:V28"/>
    <mergeCell ref="W28:X28"/>
    <mergeCell ref="Y26:Z26"/>
    <mergeCell ref="C27:D27"/>
    <mergeCell ref="E27:F27"/>
    <mergeCell ref="G27:H27"/>
    <mergeCell ref="I27:J27"/>
    <mergeCell ref="M27:N27"/>
    <mergeCell ref="O27:P27"/>
    <mergeCell ref="S27:T27"/>
    <mergeCell ref="U27:V27"/>
    <mergeCell ref="W27:X27"/>
    <mergeCell ref="Q27:R27"/>
    <mergeCell ref="Q28:R28"/>
    <mergeCell ref="K27:L27"/>
    <mergeCell ref="K28:L28"/>
    <mergeCell ref="Y25:Z25"/>
    <mergeCell ref="C26:D26"/>
    <mergeCell ref="E26:F26"/>
    <mergeCell ref="G26:H26"/>
    <mergeCell ref="I26:J26"/>
    <mergeCell ref="M26:N26"/>
    <mergeCell ref="O26:P26"/>
    <mergeCell ref="S26:T26"/>
    <mergeCell ref="U26:V26"/>
    <mergeCell ref="W26:X26"/>
    <mergeCell ref="S24:T24"/>
    <mergeCell ref="U24:V24"/>
    <mergeCell ref="W24:X24"/>
    <mergeCell ref="Y24:Z24"/>
    <mergeCell ref="C25:D25"/>
    <mergeCell ref="E25:F25"/>
    <mergeCell ref="G25:H25"/>
    <mergeCell ref="I25:J25"/>
    <mergeCell ref="M25:N25"/>
    <mergeCell ref="O25:P25"/>
    <mergeCell ref="U25:V25"/>
    <mergeCell ref="W25:X25"/>
    <mergeCell ref="S25:T25"/>
    <mergeCell ref="Q25:R25"/>
    <mergeCell ref="Q26:R26"/>
    <mergeCell ref="K25:L25"/>
    <mergeCell ref="K26:L26"/>
    <mergeCell ref="S23:T23"/>
    <mergeCell ref="U23:V23"/>
    <mergeCell ref="W23:X23"/>
    <mergeCell ref="Y23:Z23"/>
    <mergeCell ref="C24:D24"/>
    <mergeCell ref="E24:F24"/>
    <mergeCell ref="G24:H24"/>
    <mergeCell ref="I24:J24"/>
    <mergeCell ref="M24:N24"/>
    <mergeCell ref="O24:P24"/>
    <mergeCell ref="S22:T22"/>
    <mergeCell ref="U22:V22"/>
    <mergeCell ref="W22:X22"/>
    <mergeCell ref="Y22:Z22"/>
    <mergeCell ref="C23:D23"/>
    <mergeCell ref="E23:F23"/>
    <mergeCell ref="G23:H23"/>
    <mergeCell ref="I23:J23"/>
    <mergeCell ref="M23:N23"/>
    <mergeCell ref="O23:P23"/>
    <mergeCell ref="Q23:R23"/>
    <mergeCell ref="Q24:R24"/>
    <mergeCell ref="K23:L23"/>
    <mergeCell ref="K24:L24"/>
    <mergeCell ref="S21:T21"/>
    <mergeCell ref="U21:V21"/>
    <mergeCell ref="W21:X21"/>
    <mergeCell ref="Y21:Z21"/>
    <mergeCell ref="C22:D22"/>
    <mergeCell ref="E22:F22"/>
    <mergeCell ref="G22:H22"/>
    <mergeCell ref="I22:J22"/>
    <mergeCell ref="M22:N22"/>
    <mergeCell ref="O22:P22"/>
    <mergeCell ref="S20:T20"/>
    <mergeCell ref="U20:V20"/>
    <mergeCell ref="W20:X20"/>
    <mergeCell ref="Y20:Z20"/>
    <mergeCell ref="C21:D21"/>
    <mergeCell ref="E21:F21"/>
    <mergeCell ref="G21:H21"/>
    <mergeCell ref="I21:J21"/>
    <mergeCell ref="M21:N21"/>
    <mergeCell ref="O21:P21"/>
    <mergeCell ref="Q21:R21"/>
    <mergeCell ref="Q22:R22"/>
    <mergeCell ref="K21:L21"/>
    <mergeCell ref="K22:L22"/>
    <mergeCell ref="S19:T19"/>
    <mergeCell ref="U19:V19"/>
    <mergeCell ref="W19:X19"/>
    <mergeCell ref="Y19:Z19"/>
    <mergeCell ref="C20:D20"/>
    <mergeCell ref="E20:F20"/>
    <mergeCell ref="G20:H20"/>
    <mergeCell ref="I20:J20"/>
    <mergeCell ref="M20:N20"/>
    <mergeCell ref="O20:P20"/>
    <mergeCell ref="S18:T18"/>
    <mergeCell ref="U18:V18"/>
    <mergeCell ref="W18:X18"/>
    <mergeCell ref="Y18:Z18"/>
    <mergeCell ref="C19:D19"/>
    <mergeCell ref="E19:F19"/>
    <mergeCell ref="G19:H19"/>
    <mergeCell ref="I19:J19"/>
    <mergeCell ref="M19:N19"/>
    <mergeCell ref="O19:P19"/>
    <mergeCell ref="Q19:R19"/>
    <mergeCell ref="Q20:R20"/>
    <mergeCell ref="K19:L19"/>
    <mergeCell ref="K20:L20"/>
    <mergeCell ref="S17:T17"/>
    <mergeCell ref="U17:V17"/>
    <mergeCell ref="W17:X17"/>
    <mergeCell ref="Y17:Z17"/>
    <mergeCell ref="C18:D18"/>
    <mergeCell ref="E18:F18"/>
    <mergeCell ref="G18:H18"/>
    <mergeCell ref="I18:J18"/>
    <mergeCell ref="M18:N18"/>
    <mergeCell ref="O18:P18"/>
    <mergeCell ref="S16:T16"/>
    <mergeCell ref="U16:V16"/>
    <mergeCell ref="W16:X16"/>
    <mergeCell ref="Y16:Z16"/>
    <mergeCell ref="C17:D17"/>
    <mergeCell ref="E17:F17"/>
    <mergeCell ref="G17:H17"/>
    <mergeCell ref="I17:J17"/>
    <mergeCell ref="M17:N17"/>
    <mergeCell ref="O17:P17"/>
    <mergeCell ref="C16:D16"/>
    <mergeCell ref="E16:F16"/>
    <mergeCell ref="G16:H16"/>
    <mergeCell ref="I16:J16"/>
    <mergeCell ref="M16:N16"/>
    <mergeCell ref="O16:P16"/>
    <mergeCell ref="Q17:R17"/>
    <mergeCell ref="Q18:R18"/>
    <mergeCell ref="K17:L17"/>
    <mergeCell ref="K18:L18"/>
    <mergeCell ref="K16:L16"/>
    <mergeCell ref="Q16:R16"/>
    <mergeCell ref="C14:V14"/>
    <mergeCell ref="W14:Z14"/>
    <mergeCell ref="E15:F15"/>
    <mergeCell ref="G15:H15"/>
    <mergeCell ref="M15:N15"/>
    <mergeCell ref="S15:T15"/>
    <mergeCell ref="U15:V15"/>
    <mergeCell ref="W15:X15"/>
    <mergeCell ref="Y15:Z15"/>
    <mergeCell ref="H10:K10"/>
    <mergeCell ref="H11:K11"/>
    <mergeCell ref="E5:G5"/>
    <mergeCell ref="E7:G7"/>
    <mergeCell ref="E8:G8"/>
    <mergeCell ref="E9:G9"/>
    <mergeCell ref="E10:G10"/>
    <mergeCell ref="E11:G11"/>
    <mergeCell ref="H5:K5"/>
    <mergeCell ref="H7:K7"/>
    <mergeCell ref="H8:K8"/>
    <mergeCell ref="H9:K9"/>
    <mergeCell ref="L5:N5"/>
    <mergeCell ref="L7:N7"/>
    <mergeCell ref="L8:N8"/>
    <mergeCell ref="L9:N9"/>
    <mergeCell ref="L10:N10"/>
    <mergeCell ref="L11:N11"/>
    <mergeCell ref="I15:J15"/>
    <mergeCell ref="R11:U11"/>
    <mergeCell ref="V5:Z12"/>
    <mergeCell ref="E12:K12"/>
    <mergeCell ref="L6:N6"/>
    <mergeCell ref="E92:F92"/>
    <mergeCell ref="G92:H92"/>
    <mergeCell ref="I92:J92"/>
    <mergeCell ref="K92:L92"/>
    <mergeCell ref="U90:V90"/>
    <mergeCell ref="W90:X90"/>
    <mergeCell ref="Y90:Z90"/>
    <mergeCell ref="C91:D91"/>
    <mergeCell ref="E91:F91"/>
    <mergeCell ref="G91:H91"/>
    <mergeCell ref="I91:J91"/>
    <mergeCell ref="K91:L91"/>
    <mergeCell ref="M91:N91"/>
    <mergeCell ref="O91:P91"/>
    <mergeCell ref="Y89:Z89"/>
    <mergeCell ref="C90:D90"/>
    <mergeCell ref="E90:F90"/>
    <mergeCell ref="G90:H90"/>
    <mergeCell ref="I90:J90"/>
    <mergeCell ref="K90:L90"/>
    <mergeCell ref="M90:N90"/>
    <mergeCell ref="O90:P90"/>
    <mergeCell ref="Q90:R90"/>
    <mergeCell ref="S90:T90"/>
    <mergeCell ref="M89:N89"/>
    <mergeCell ref="O89:P89"/>
    <mergeCell ref="Q89:R89"/>
    <mergeCell ref="S89:T89"/>
    <mergeCell ref="U89:V89"/>
    <mergeCell ref="W89:X89"/>
    <mergeCell ref="Q88:R88"/>
    <mergeCell ref="S88:T88"/>
    <mergeCell ref="U88:V88"/>
    <mergeCell ref="W88:X88"/>
    <mergeCell ref="Y88:Z88"/>
    <mergeCell ref="C89:D89"/>
    <mergeCell ref="E89:F89"/>
    <mergeCell ref="G89:H89"/>
    <mergeCell ref="I89:J89"/>
    <mergeCell ref="K89:L89"/>
    <mergeCell ref="U87:V87"/>
    <mergeCell ref="W87:X87"/>
    <mergeCell ref="Y87:Z87"/>
    <mergeCell ref="C88:D88"/>
    <mergeCell ref="E88:F88"/>
    <mergeCell ref="G88:H88"/>
    <mergeCell ref="I88:J88"/>
    <mergeCell ref="K88:L88"/>
    <mergeCell ref="M88:N88"/>
    <mergeCell ref="O88:P88"/>
    <mergeCell ref="Y86:Z86"/>
    <mergeCell ref="C87:D87"/>
    <mergeCell ref="E87:F87"/>
    <mergeCell ref="G87:H87"/>
    <mergeCell ref="I87:J87"/>
    <mergeCell ref="K87:L87"/>
    <mergeCell ref="M87:N87"/>
    <mergeCell ref="O87:P87"/>
    <mergeCell ref="Q87:R87"/>
    <mergeCell ref="S87:T87"/>
    <mergeCell ref="M86:N86"/>
    <mergeCell ref="O86:P86"/>
    <mergeCell ref="Q86:R86"/>
    <mergeCell ref="S86:T86"/>
    <mergeCell ref="U86:V86"/>
    <mergeCell ref="W86:X86"/>
    <mergeCell ref="Q85:R85"/>
    <mergeCell ref="S85:T85"/>
    <mergeCell ref="U85:V85"/>
    <mergeCell ref="W85:X85"/>
    <mergeCell ref="Y85:Z85"/>
    <mergeCell ref="C86:D86"/>
    <mergeCell ref="E86:F86"/>
    <mergeCell ref="G86:H86"/>
    <mergeCell ref="I86:J86"/>
    <mergeCell ref="K86:L86"/>
    <mergeCell ref="U84:V84"/>
    <mergeCell ref="W84:X84"/>
    <mergeCell ref="Y84:Z84"/>
    <mergeCell ref="C85:D85"/>
    <mergeCell ref="E85:F85"/>
    <mergeCell ref="G85:H85"/>
    <mergeCell ref="I85:J85"/>
    <mergeCell ref="K85:L85"/>
    <mergeCell ref="M85:N85"/>
    <mergeCell ref="O85:P85"/>
    <mergeCell ref="Y83:Z83"/>
    <mergeCell ref="C84:D84"/>
    <mergeCell ref="E84:F84"/>
    <mergeCell ref="G84:H84"/>
    <mergeCell ref="I84:J84"/>
    <mergeCell ref="K84:L84"/>
    <mergeCell ref="M84:N84"/>
    <mergeCell ref="O84:P84"/>
    <mergeCell ref="Q84:R84"/>
    <mergeCell ref="S84:T84"/>
    <mergeCell ref="M83:N83"/>
    <mergeCell ref="O83:P83"/>
    <mergeCell ref="Q83:R83"/>
    <mergeCell ref="S83:T83"/>
    <mergeCell ref="U83:V83"/>
    <mergeCell ref="W83:X83"/>
    <mergeCell ref="Q82:R82"/>
    <mergeCell ref="S82:T82"/>
    <mergeCell ref="U82:V82"/>
    <mergeCell ref="W82:X82"/>
    <mergeCell ref="Y82:Z82"/>
    <mergeCell ref="C83:D83"/>
    <mergeCell ref="E83:F83"/>
    <mergeCell ref="G83:H83"/>
    <mergeCell ref="I83:J83"/>
    <mergeCell ref="K83:L83"/>
    <mergeCell ref="U81:V81"/>
    <mergeCell ref="W81:X81"/>
    <mergeCell ref="Y81:Z81"/>
    <mergeCell ref="C82:D82"/>
    <mergeCell ref="E82:F82"/>
    <mergeCell ref="G82:H82"/>
    <mergeCell ref="I82:J82"/>
    <mergeCell ref="K82:L82"/>
    <mergeCell ref="M82:N82"/>
    <mergeCell ref="O82:P82"/>
    <mergeCell ref="Y80:Z80"/>
    <mergeCell ref="C81:D81"/>
    <mergeCell ref="E81:F81"/>
    <mergeCell ref="G81:H81"/>
    <mergeCell ref="I81:J81"/>
    <mergeCell ref="K81:L81"/>
    <mergeCell ref="M81:N81"/>
    <mergeCell ref="O81:P81"/>
    <mergeCell ref="Q81:R81"/>
    <mergeCell ref="S81:T81"/>
    <mergeCell ref="M80:N80"/>
    <mergeCell ref="O80:P80"/>
    <mergeCell ref="Q80:R80"/>
    <mergeCell ref="S80:T80"/>
    <mergeCell ref="U80:V80"/>
    <mergeCell ref="W80:X80"/>
    <mergeCell ref="Q79:R79"/>
    <mergeCell ref="S79:T79"/>
    <mergeCell ref="U79:V79"/>
    <mergeCell ref="W79:X79"/>
    <mergeCell ref="Y79:Z79"/>
    <mergeCell ref="C80:D80"/>
    <mergeCell ref="E80:F80"/>
    <mergeCell ref="G80:H80"/>
    <mergeCell ref="I80:J80"/>
    <mergeCell ref="K80:L80"/>
    <mergeCell ref="U78:V78"/>
    <mergeCell ref="W78:X78"/>
    <mergeCell ref="Y78:Z78"/>
    <mergeCell ref="C79:D79"/>
    <mergeCell ref="E79:F79"/>
    <mergeCell ref="G79:H79"/>
    <mergeCell ref="I79:J79"/>
    <mergeCell ref="K79:L79"/>
    <mergeCell ref="M79:N79"/>
    <mergeCell ref="O79:P79"/>
    <mergeCell ref="Y77:Z77"/>
    <mergeCell ref="C78:D78"/>
    <mergeCell ref="E78:F78"/>
    <mergeCell ref="G78:H78"/>
    <mergeCell ref="I78:J78"/>
    <mergeCell ref="K78:L78"/>
    <mergeCell ref="M78:N78"/>
    <mergeCell ref="O78:P78"/>
    <mergeCell ref="Q78:R78"/>
    <mergeCell ref="S78:T78"/>
    <mergeCell ref="M77:N77"/>
    <mergeCell ref="O77:P77"/>
    <mergeCell ref="Q77:R77"/>
    <mergeCell ref="S77:T77"/>
    <mergeCell ref="U77:V77"/>
    <mergeCell ref="W77:X77"/>
    <mergeCell ref="Q76:R76"/>
    <mergeCell ref="S76:T76"/>
    <mergeCell ref="U76:V76"/>
    <mergeCell ref="W76:X76"/>
    <mergeCell ref="Y76:Z76"/>
    <mergeCell ref="C77:D77"/>
    <mergeCell ref="E77:F77"/>
    <mergeCell ref="G77:H77"/>
    <mergeCell ref="I77:J77"/>
    <mergeCell ref="K77:L77"/>
    <mergeCell ref="U75:V75"/>
    <mergeCell ref="W75:X75"/>
    <mergeCell ref="Y75:Z75"/>
    <mergeCell ref="C76:D76"/>
    <mergeCell ref="E76:F76"/>
    <mergeCell ref="G76:H76"/>
    <mergeCell ref="I76:J76"/>
    <mergeCell ref="K76:L76"/>
    <mergeCell ref="M76:N76"/>
    <mergeCell ref="O76:P76"/>
    <mergeCell ref="Y74:Z74"/>
    <mergeCell ref="C75:D75"/>
    <mergeCell ref="E75:F75"/>
    <mergeCell ref="G75:H75"/>
    <mergeCell ref="I75:J75"/>
    <mergeCell ref="K75:L75"/>
    <mergeCell ref="M75:N75"/>
    <mergeCell ref="O75:P75"/>
    <mergeCell ref="Q75:R75"/>
    <mergeCell ref="S75:T75"/>
    <mergeCell ref="M74:N74"/>
    <mergeCell ref="O74:P74"/>
    <mergeCell ref="Q74:R74"/>
    <mergeCell ref="S74:T74"/>
    <mergeCell ref="U74:V74"/>
    <mergeCell ref="W74:X74"/>
    <mergeCell ref="Q73:R73"/>
    <mergeCell ref="S73:T73"/>
    <mergeCell ref="U73:V73"/>
    <mergeCell ref="W73:X73"/>
    <mergeCell ref="Y73:Z73"/>
    <mergeCell ref="C74:D74"/>
    <mergeCell ref="E74:F74"/>
    <mergeCell ref="G74:H74"/>
    <mergeCell ref="I74:J74"/>
    <mergeCell ref="K74:L74"/>
    <mergeCell ref="U72:V72"/>
    <mergeCell ref="W72:X72"/>
    <mergeCell ref="Y72:Z72"/>
    <mergeCell ref="C73:D73"/>
    <mergeCell ref="E73:F73"/>
    <mergeCell ref="G73:H73"/>
    <mergeCell ref="I73:J73"/>
    <mergeCell ref="K73:L73"/>
    <mergeCell ref="M73:N73"/>
    <mergeCell ref="O73:P73"/>
    <mergeCell ref="Y71:Z71"/>
    <mergeCell ref="C72:D72"/>
    <mergeCell ref="E72:F72"/>
    <mergeCell ref="G72:H72"/>
    <mergeCell ref="I72:J72"/>
    <mergeCell ref="K72:L72"/>
    <mergeCell ref="M72:N72"/>
    <mergeCell ref="O72:P72"/>
    <mergeCell ref="Q72:R72"/>
    <mergeCell ref="S72:T72"/>
    <mergeCell ref="M71:N71"/>
    <mergeCell ref="O71:P71"/>
    <mergeCell ref="Q71:R71"/>
    <mergeCell ref="S71:T71"/>
    <mergeCell ref="U71:V71"/>
    <mergeCell ref="W71:X71"/>
    <mergeCell ref="Q70:R70"/>
    <mergeCell ref="S70:T70"/>
    <mergeCell ref="U70:V70"/>
    <mergeCell ref="W70:X70"/>
    <mergeCell ref="Y70:Z70"/>
    <mergeCell ref="C71:D71"/>
    <mergeCell ref="E71:F71"/>
    <mergeCell ref="G71:H71"/>
    <mergeCell ref="I71:J71"/>
    <mergeCell ref="K71:L71"/>
    <mergeCell ref="U69:V69"/>
    <mergeCell ref="W69:X69"/>
    <mergeCell ref="Y69:Z69"/>
    <mergeCell ref="C70:D70"/>
    <mergeCell ref="E70:F70"/>
    <mergeCell ref="G70:H70"/>
    <mergeCell ref="I70:J70"/>
    <mergeCell ref="K70:L70"/>
    <mergeCell ref="M70:N70"/>
    <mergeCell ref="O70:P70"/>
    <mergeCell ref="M65:N65"/>
    <mergeCell ref="O65:P65"/>
    <mergeCell ref="Q65:R65"/>
    <mergeCell ref="S65:T65"/>
    <mergeCell ref="U65:V65"/>
    <mergeCell ref="W65:X65"/>
    <mergeCell ref="Y68:Z68"/>
    <mergeCell ref="C69:D69"/>
    <mergeCell ref="E69:F69"/>
    <mergeCell ref="G69:H69"/>
    <mergeCell ref="I69:J69"/>
    <mergeCell ref="K69:L69"/>
    <mergeCell ref="M69:N69"/>
    <mergeCell ref="O69:P69"/>
    <mergeCell ref="Q69:R69"/>
    <mergeCell ref="S69:T69"/>
    <mergeCell ref="M68:N68"/>
    <mergeCell ref="O68:P68"/>
    <mergeCell ref="Q68:R68"/>
    <mergeCell ref="S68:T68"/>
    <mergeCell ref="U68:V68"/>
    <mergeCell ref="W68:X68"/>
    <mergeCell ref="Q67:R67"/>
    <mergeCell ref="S67:T67"/>
    <mergeCell ref="U67:V67"/>
    <mergeCell ref="W67:X67"/>
    <mergeCell ref="Y67:Z67"/>
    <mergeCell ref="C68:D68"/>
    <mergeCell ref="E68:F68"/>
    <mergeCell ref="G68:H68"/>
    <mergeCell ref="I68:J68"/>
    <mergeCell ref="K68:L68"/>
    <mergeCell ref="C65:D65"/>
    <mergeCell ref="E65:F65"/>
    <mergeCell ref="G65:H65"/>
    <mergeCell ref="I65:J65"/>
    <mergeCell ref="K65:L65"/>
    <mergeCell ref="C64:D64"/>
    <mergeCell ref="E64:F64"/>
    <mergeCell ref="G64:H64"/>
    <mergeCell ref="I64:J64"/>
    <mergeCell ref="K64:L64"/>
    <mergeCell ref="M64:N64"/>
    <mergeCell ref="O64:P64"/>
    <mergeCell ref="U66:V66"/>
    <mergeCell ref="W66:X66"/>
    <mergeCell ref="Y66:Z66"/>
    <mergeCell ref="C67:D67"/>
    <mergeCell ref="E67:F67"/>
    <mergeCell ref="G67:H67"/>
    <mergeCell ref="I67:J67"/>
    <mergeCell ref="K67:L67"/>
    <mergeCell ref="M67:N67"/>
    <mergeCell ref="O67:P67"/>
    <mergeCell ref="Y65:Z65"/>
    <mergeCell ref="C66:D66"/>
    <mergeCell ref="E66:F66"/>
    <mergeCell ref="G66:H66"/>
    <mergeCell ref="I66:J66"/>
    <mergeCell ref="K66:L66"/>
    <mergeCell ref="M66:N66"/>
    <mergeCell ref="O66:P66"/>
    <mergeCell ref="Q66:R66"/>
    <mergeCell ref="S66:T66"/>
    <mergeCell ref="Q63:R63"/>
    <mergeCell ref="S63:T63"/>
    <mergeCell ref="M62:N62"/>
    <mergeCell ref="O62:P62"/>
    <mergeCell ref="Q62:R62"/>
    <mergeCell ref="S62:T62"/>
    <mergeCell ref="U62:V62"/>
    <mergeCell ref="W62:X62"/>
    <mergeCell ref="C62:D62"/>
    <mergeCell ref="E62:F62"/>
    <mergeCell ref="G62:H62"/>
    <mergeCell ref="I62:J62"/>
    <mergeCell ref="K62:L62"/>
    <mergeCell ref="U63:V63"/>
    <mergeCell ref="W63:X63"/>
    <mergeCell ref="Y63:Z63"/>
    <mergeCell ref="Q64:R64"/>
    <mergeCell ref="S64:T64"/>
    <mergeCell ref="U64:V64"/>
    <mergeCell ref="W64:X64"/>
    <mergeCell ref="Y64:Z64"/>
    <mergeCell ref="M59:N59"/>
    <mergeCell ref="C150:F150"/>
    <mergeCell ref="U59:V59"/>
    <mergeCell ref="W59:X59"/>
    <mergeCell ref="U60:V60"/>
    <mergeCell ref="W60:X60"/>
    <mergeCell ref="Y60:Z60"/>
    <mergeCell ref="C61:D61"/>
    <mergeCell ref="E61:F61"/>
    <mergeCell ref="G61:H61"/>
    <mergeCell ref="I61:J61"/>
    <mergeCell ref="K61:L61"/>
    <mergeCell ref="M61:N61"/>
    <mergeCell ref="O61:P61"/>
    <mergeCell ref="G59:H59"/>
    <mergeCell ref="C60:D60"/>
    <mergeCell ref="E60:F60"/>
    <mergeCell ref="G60:H60"/>
    <mergeCell ref="I60:J60"/>
    <mergeCell ref="K60:L60"/>
    <mergeCell ref="M60:N60"/>
    <mergeCell ref="O60:P60"/>
    <mergeCell ref="Q60:R60"/>
    <mergeCell ref="S60:T60"/>
    <mergeCell ref="Y62:Z62"/>
    <mergeCell ref="C63:D63"/>
    <mergeCell ref="E63:F63"/>
    <mergeCell ref="G63:H63"/>
    <mergeCell ref="I63:J63"/>
    <mergeCell ref="K63:L63"/>
    <mergeCell ref="M63:N63"/>
    <mergeCell ref="O63:P63"/>
    <mergeCell ref="B10:D10"/>
    <mergeCell ref="B6:D6"/>
    <mergeCell ref="M58:N58"/>
    <mergeCell ref="O58:P58"/>
    <mergeCell ref="Q58:R58"/>
    <mergeCell ref="C151:F151"/>
    <mergeCell ref="G151:J151"/>
    <mergeCell ref="K151:N151"/>
    <mergeCell ref="O151:R151"/>
    <mergeCell ref="S58:T58"/>
    <mergeCell ref="U58:V58"/>
    <mergeCell ref="W58:X58"/>
    <mergeCell ref="Y59:Z59"/>
    <mergeCell ref="Q61:R61"/>
    <mergeCell ref="S61:T61"/>
    <mergeCell ref="U61:V61"/>
    <mergeCell ref="W61:X61"/>
    <mergeCell ref="Y61:Z61"/>
    <mergeCell ref="W57:Z57"/>
    <mergeCell ref="C57:V57"/>
    <mergeCell ref="C58:D58"/>
    <mergeCell ref="E58:F58"/>
    <mergeCell ref="G58:H58"/>
    <mergeCell ref="I58:J58"/>
    <mergeCell ref="K58:L58"/>
    <mergeCell ref="O59:P59"/>
    <mergeCell ref="Q59:R59"/>
    <mergeCell ref="S59:T59"/>
    <mergeCell ref="S151:V151"/>
    <mergeCell ref="W151:Z151"/>
    <mergeCell ref="I59:J59"/>
    <mergeCell ref="K59:L59"/>
    <mergeCell ref="AC14:AP14"/>
    <mergeCell ref="AC4:AH4"/>
    <mergeCell ref="AI4:AL4"/>
    <mergeCell ref="AM4:AP4"/>
    <mergeCell ref="B57:B58"/>
    <mergeCell ref="C59:D59"/>
    <mergeCell ref="E59:F59"/>
    <mergeCell ref="C149:F149"/>
    <mergeCell ref="G149:J149"/>
    <mergeCell ref="K149:N149"/>
    <mergeCell ref="O149:R149"/>
    <mergeCell ref="S149:V149"/>
    <mergeCell ref="W149:Z149"/>
    <mergeCell ref="E6:G6"/>
    <mergeCell ref="H6:K6"/>
    <mergeCell ref="O6:Q6"/>
    <mergeCell ref="R6:U6"/>
    <mergeCell ref="O15:P15"/>
    <mergeCell ref="K15:L15"/>
    <mergeCell ref="Q15:R15"/>
    <mergeCell ref="B14:B15"/>
    <mergeCell ref="C15:D15"/>
    <mergeCell ref="O10:Q10"/>
    <mergeCell ref="O11:Q11"/>
    <mergeCell ref="O7:Q7"/>
    <mergeCell ref="O8:Q8"/>
    <mergeCell ref="O9:Q9"/>
    <mergeCell ref="R8:U8"/>
    <mergeCell ref="R9:U9"/>
    <mergeCell ref="B11:D11"/>
    <mergeCell ref="B12:D12"/>
    <mergeCell ref="B7:D7"/>
    <mergeCell ref="C215:H215"/>
    <mergeCell ref="I215:N215"/>
    <mergeCell ref="O215:T215"/>
    <mergeCell ref="U215:Z215"/>
    <mergeCell ref="C191:H191"/>
    <mergeCell ref="I191:N191"/>
    <mergeCell ref="O191:T191"/>
    <mergeCell ref="U191:Z191"/>
    <mergeCell ref="G150:J150"/>
    <mergeCell ref="K150:N150"/>
    <mergeCell ref="O150:R150"/>
    <mergeCell ref="S150:V150"/>
    <mergeCell ref="W150:Z150"/>
    <mergeCell ref="O5:Q5"/>
    <mergeCell ref="B5:D5"/>
    <mergeCell ref="Y58:Z58"/>
    <mergeCell ref="Q49:R49"/>
    <mergeCell ref="Q50:R50"/>
    <mergeCell ref="Q43:R43"/>
    <mergeCell ref="Q44:R44"/>
    <mergeCell ref="Q45:R45"/>
    <mergeCell ref="Q46:R46"/>
    <mergeCell ref="Q47:R47"/>
    <mergeCell ref="Q48:R48"/>
    <mergeCell ref="Q37:R37"/>
    <mergeCell ref="Q38:R38"/>
    <mergeCell ref="K49:L49"/>
    <mergeCell ref="K50:L50"/>
    <mergeCell ref="K43:L43"/>
    <mergeCell ref="K44:L44"/>
    <mergeCell ref="B8:D8"/>
    <mergeCell ref="B9:D9"/>
    <mergeCell ref="C173:D173"/>
    <mergeCell ref="E173:F173"/>
    <mergeCell ref="G173:H173"/>
    <mergeCell ref="I173:J173"/>
    <mergeCell ref="K173:L173"/>
    <mergeCell ref="M173:N173"/>
    <mergeCell ref="C176:F176"/>
    <mergeCell ref="C175:H175"/>
    <mergeCell ref="I175:N175"/>
    <mergeCell ref="O175:T175"/>
    <mergeCell ref="U175:Z175"/>
    <mergeCell ref="C199:H199"/>
    <mergeCell ref="I199:N199"/>
    <mergeCell ref="O199:T199"/>
    <mergeCell ref="U199:Z199"/>
    <mergeCell ref="C207:H207"/>
    <mergeCell ref="I207:N207"/>
    <mergeCell ref="O207:T207"/>
    <mergeCell ref="U207:Z207"/>
    <mergeCell ref="K179:L179"/>
    <mergeCell ref="M179:N179"/>
    <mergeCell ref="O179:P179"/>
    <mergeCell ref="O173:P173"/>
    <mergeCell ref="Q173:R173"/>
    <mergeCell ref="S173:T173"/>
    <mergeCell ref="U173:V173"/>
    <mergeCell ref="W173:X173"/>
    <mergeCell ref="Y173:Z173"/>
    <mergeCell ref="C180:D180"/>
    <mergeCell ref="E180:F180"/>
    <mergeCell ref="G180:H180"/>
    <mergeCell ref="I180:J180"/>
  </mergeCells>
  <phoneticPr fontId="1" type="noConversion"/>
  <conditionalFormatting sqref="O190:P190">
    <cfRule type="expression" dxfId="1" priority="2">
      <formula>ISERROR(VLOOKUP(O190,성도목록,1,0))</formula>
    </cfRule>
  </conditionalFormatting>
  <conditionalFormatting sqref="O190:P190">
    <cfRule type="expression" dxfId="0" priority="1">
      <formula>ISERROR(VLOOKUP(O190,성도목록,1,0))</formula>
    </cfRule>
  </conditionalFormatting>
  <pageMargins left="0.7" right="0.7" top="0.75" bottom="0.75" header="0.3" footer="0.3"/>
  <pageSetup paperSize="9" scale="98" fitToHeight="0" orientation="portrait" r:id="rId1"/>
  <rowBreaks count="3" manualBreakCount="3">
    <brk id="53" max="25" man="1"/>
    <brk id="106" max="16383" man="1"/>
    <brk id="158" max="16383" man="1"/>
  </rowBreaks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B1:G189"/>
  <sheetViews>
    <sheetView showGridLines="0" view="pageBreakPreview" zoomScaleNormal="100" zoomScaleSheetLayoutView="100" workbookViewId="0">
      <selection activeCell="C149" sqref="C149:F188"/>
    </sheetView>
  </sheetViews>
  <sheetFormatPr defaultColWidth="8.75" defaultRowHeight="16.5"/>
  <cols>
    <col min="1" max="1" width="1.25" style="2" customWidth="1"/>
    <col min="2" max="2" width="4.25" customWidth="1"/>
    <col min="3" max="3" width="6.25" customWidth="1"/>
    <col min="4" max="4" width="29.375" customWidth="1"/>
    <col min="5" max="5" width="12.875" customWidth="1"/>
    <col min="6" max="6" width="12.75" customWidth="1"/>
    <col min="7" max="7" width="13.75" customWidth="1"/>
    <col min="8" max="16384" width="8.75" style="2"/>
  </cols>
  <sheetData>
    <row r="1" spans="2:7" ht="15.75" customHeight="1"/>
    <row r="2" spans="2:7" ht="15.75" customHeight="1">
      <c r="D2" s="393" t="s">
        <v>193</v>
      </c>
      <c r="E2" s="393"/>
      <c r="F2" s="393"/>
    </row>
    <row r="3" spans="2:7" ht="15.75" customHeight="1">
      <c r="F3" s="394" t="str">
        <f>'지우지마세요!'!C3&amp;"년 "&amp;'지우지마세요!'!E3&amp;"월 "&amp;'지우지마세요!'!G3&amp;"일"</f>
        <v>2017년 3월 5일</v>
      </c>
      <c r="G3" s="395"/>
    </row>
    <row r="4" spans="2:7" ht="15.75" customHeight="1"/>
    <row r="5" spans="2:7" ht="15.75" customHeight="1">
      <c r="B5" s="396" t="s">
        <v>30</v>
      </c>
      <c r="C5" s="397" t="s">
        <v>98</v>
      </c>
      <c r="D5" s="227" t="s">
        <v>104</v>
      </c>
      <c r="E5" s="227" t="s">
        <v>105</v>
      </c>
      <c r="F5" s="227"/>
      <c r="G5" s="227" t="s">
        <v>15</v>
      </c>
    </row>
    <row r="6" spans="2:7" ht="15.75" customHeight="1">
      <c r="B6" s="396"/>
      <c r="C6" s="227"/>
      <c r="D6" s="227"/>
      <c r="E6" s="5" t="s">
        <v>106</v>
      </c>
      <c r="F6" s="5" t="s">
        <v>103</v>
      </c>
      <c r="G6" s="227"/>
    </row>
    <row r="7" spans="2:7" ht="15" customHeight="1">
      <c r="B7" s="10">
        <v>1</v>
      </c>
      <c r="C7" s="108"/>
      <c r="D7" s="109"/>
      <c r="E7" s="110"/>
      <c r="F7" s="110"/>
      <c r="G7" s="96">
        <f>E7+F7</f>
        <v>0</v>
      </c>
    </row>
    <row r="8" spans="2:7" ht="15" customHeight="1">
      <c r="B8" s="10">
        <v>2</v>
      </c>
      <c r="C8" s="111"/>
      <c r="D8" s="109"/>
      <c r="E8" s="110"/>
      <c r="F8" s="110"/>
      <c r="G8" s="96">
        <f t="shared" ref="G8:G46" si="0">E8+F8</f>
        <v>0</v>
      </c>
    </row>
    <row r="9" spans="2:7" ht="15" customHeight="1">
      <c r="B9" s="10">
        <v>3</v>
      </c>
      <c r="C9" s="111"/>
      <c r="D9" s="109"/>
      <c r="E9" s="110"/>
      <c r="F9" s="110"/>
      <c r="G9" s="96">
        <f t="shared" si="0"/>
        <v>0</v>
      </c>
    </row>
    <row r="10" spans="2:7" ht="15" customHeight="1">
      <c r="B10" s="10">
        <v>4</v>
      </c>
      <c r="C10" s="111"/>
      <c r="D10" s="109"/>
      <c r="E10" s="110"/>
      <c r="F10" s="110"/>
      <c r="G10" s="96">
        <f t="shared" si="0"/>
        <v>0</v>
      </c>
    </row>
    <row r="11" spans="2:7" ht="15" customHeight="1">
      <c r="B11" s="10">
        <v>5</v>
      </c>
      <c r="C11" s="111"/>
      <c r="D11" s="109"/>
      <c r="E11" s="110"/>
      <c r="F11" s="110"/>
      <c r="G11" s="96">
        <f t="shared" si="0"/>
        <v>0</v>
      </c>
    </row>
    <row r="12" spans="2:7" ht="15" customHeight="1">
      <c r="B12" s="10">
        <v>6</v>
      </c>
      <c r="C12" s="111"/>
      <c r="D12" s="109"/>
      <c r="E12" s="110"/>
      <c r="F12" s="110"/>
      <c r="G12" s="96">
        <f t="shared" si="0"/>
        <v>0</v>
      </c>
    </row>
    <row r="13" spans="2:7" ht="15" customHeight="1">
      <c r="B13" s="10">
        <v>7</v>
      </c>
      <c r="C13" s="111"/>
      <c r="D13" s="112"/>
      <c r="E13" s="110"/>
      <c r="F13" s="110"/>
      <c r="G13" s="96">
        <f t="shared" si="0"/>
        <v>0</v>
      </c>
    </row>
    <row r="14" spans="2:7" ht="15" customHeight="1">
      <c r="B14" s="10">
        <v>8</v>
      </c>
      <c r="C14" s="111"/>
      <c r="D14" s="109"/>
      <c r="E14" s="110"/>
      <c r="F14" s="110"/>
      <c r="G14" s="96">
        <f t="shared" si="0"/>
        <v>0</v>
      </c>
    </row>
    <row r="15" spans="2:7" ht="15" customHeight="1">
      <c r="B15" s="10">
        <v>9</v>
      </c>
      <c r="C15" s="111"/>
      <c r="D15" s="109"/>
      <c r="E15" s="110"/>
      <c r="F15" s="110"/>
      <c r="G15" s="96">
        <f t="shared" si="0"/>
        <v>0</v>
      </c>
    </row>
    <row r="16" spans="2:7" ht="15" customHeight="1">
      <c r="B16" s="10">
        <v>10</v>
      </c>
      <c r="C16" s="111"/>
      <c r="D16" s="109"/>
      <c r="E16" s="110"/>
      <c r="F16" s="110"/>
      <c r="G16" s="96">
        <f t="shared" si="0"/>
        <v>0</v>
      </c>
    </row>
    <row r="17" spans="2:7" ht="15" customHeight="1">
      <c r="B17" s="10">
        <v>11</v>
      </c>
      <c r="C17" s="111"/>
      <c r="D17" s="109"/>
      <c r="E17" s="110"/>
      <c r="F17" s="110"/>
      <c r="G17" s="96">
        <f t="shared" si="0"/>
        <v>0</v>
      </c>
    </row>
    <row r="18" spans="2:7" ht="15" customHeight="1">
      <c r="B18" s="10">
        <v>12</v>
      </c>
      <c r="C18" s="111"/>
      <c r="D18" s="109"/>
      <c r="E18" s="110"/>
      <c r="F18" s="110"/>
      <c r="G18" s="96">
        <f t="shared" si="0"/>
        <v>0</v>
      </c>
    </row>
    <row r="19" spans="2:7" ht="15" customHeight="1">
      <c r="B19" s="10">
        <v>13</v>
      </c>
      <c r="C19" s="111"/>
      <c r="D19" s="109"/>
      <c r="E19" s="110"/>
      <c r="F19" s="110"/>
      <c r="G19" s="96">
        <f t="shared" si="0"/>
        <v>0</v>
      </c>
    </row>
    <row r="20" spans="2:7" ht="15" customHeight="1">
      <c r="B20" s="10">
        <v>14</v>
      </c>
      <c r="C20" s="111"/>
      <c r="D20" s="109"/>
      <c r="E20" s="110"/>
      <c r="F20" s="110"/>
      <c r="G20" s="96">
        <f t="shared" si="0"/>
        <v>0</v>
      </c>
    </row>
    <row r="21" spans="2:7" ht="15" customHeight="1">
      <c r="B21" s="10">
        <v>15</v>
      </c>
      <c r="C21" s="111"/>
      <c r="D21" s="109"/>
      <c r="E21" s="110"/>
      <c r="F21" s="110"/>
      <c r="G21" s="96">
        <f t="shared" si="0"/>
        <v>0</v>
      </c>
    </row>
    <row r="22" spans="2:7" ht="15" customHeight="1">
      <c r="B22" s="26">
        <v>16</v>
      </c>
      <c r="C22" s="113"/>
      <c r="D22" s="114"/>
      <c r="E22" s="115"/>
      <c r="F22" s="115"/>
      <c r="G22" s="96">
        <f t="shared" si="0"/>
        <v>0</v>
      </c>
    </row>
    <row r="23" spans="2:7" ht="15" customHeight="1">
      <c r="B23" s="10">
        <v>17</v>
      </c>
      <c r="C23" s="111"/>
      <c r="D23" s="109"/>
      <c r="E23" s="110"/>
      <c r="F23" s="110"/>
      <c r="G23" s="96">
        <f t="shared" si="0"/>
        <v>0</v>
      </c>
    </row>
    <row r="24" spans="2:7" ht="15" customHeight="1">
      <c r="B24" s="10">
        <v>18</v>
      </c>
      <c r="C24" s="111"/>
      <c r="D24" s="109"/>
      <c r="E24" s="110"/>
      <c r="F24" s="110"/>
      <c r="G24" s="96">
        <f t="shared" si="0"/>
        <v>0</v>
      </c>
    </row>
    <row r="25" spans="2:7" ht="15" customHeight="1">
      <c r="B25" s="10">
        <v>19</v>
      </c>
      <c r="C25" s="111"/>
      <c r="D25" s="109"/>
      <c r="E25" s="110"/>
      <c r="F25" s="110"/>
      <c r="G25" s="96">
        <f t="shared" si="0"/>
        <v>0</v>
      </c>
    </row>
    <row r="26" spans="2:7" ht="15" customHeight="1">
      <c r="B26" s="10">
        <v>20</v>
      </c>
      <c r="C26" s="111"/>
      <c r="D26" s="109"/>
      <c r="E26" s="110"/>
      <c r="F26" s="110"/>
      <c r="G26" s="96">
        <f t="shared" si="0"/>
        <v>0</v>
      </c>
    </row>
    <row r="27" spans="2:7" ht="15" customHeight="1">
      <c r="B27" s="10">
        <v>21</v>
      </c>
      <c r="C27" s="111"/>
      <c r="D27" s="109"/>
      <c r="E27" s="110"/>
      <c r="F27" s="110"/>
      <c r="G27" s="96">
        <f t="shared" si="0"/>
        <v>0</v>
      </c>
    </row>
    <row r="28" spans="2:7" ht="15" customHeight="1">
      <c r="B28" s="10">
        <v>22</v>
      </c>
      <c r="C28" s="111"/>
      <c r="D28" s="109"/>
      <c r="E28" s="110"/>
      <c r="F28" s="110"/>
      <c r="G28" s="96">
        <f t="shared" si="0"/>
        <v>0</v>
      </c>
    </row>
    <row r="29" spans="2:7" ht="15" customHeight="1">
      <c r="B29" s="10">
        <v>23</v>
      </c>
      <c r="C29" s="111"/>
      <c r="D29" s="109"/>
      <c r="E29" s="110"/>
      <c r="F29" s="110"/>
      <c r="G29" s="96">
        <f t="shared" si="0"/>
        <v>0</v>
      </c>
    </row>
    <row r="30" spans="2:7" ht="15" customHeight="1">
      <c r="B30" s="10">
        <v>24</v>
      </c>
      <c r="C30" s="111"/>
      <c r="D30" s="109"/>
      <c r="E30" s="110"/>
      <c r="F30" s="110"/>
      <c r="G30" s="96">
        <f t="shared" si="0"/>
        <v>0</v>
      </c>
    </row>
    <row r="31" spans="2:7" ht="15" customHeight="1">
      <c r="B31" s="10">
        <v>25</v>
      </c>
      <c r="C31" s="111"/>
      <c r="D31" s="109"/>
      <c r="E31" s="110"/>
      <c r="F31" s="110"/>
      <c r="G31" s="96">
        <f t="shared" si="0"/>
        <v>0</v>
      </c>
    </row>
    <row r="32" spans="2:7" ht="15" customHeight="1">
      <c r="B32" s="10">
        <v>26</v>
      </c>
      <c r="C32" s="111"/>
      <c r="D32" s="109"/>
      <c r="E32" s="110"/>
      <c r="F32" s="110"/>
      <c r="G32" s="96">
        <f t="shared" si="0"/>
        <v>0</v>
      </c>
    </row>
    <row r="33" spans="2:7" ht="15" customHeight="1">
      <c r="B33" s="10">
        <v>27</v>
      </c>
      <c r="C33" s="111"/>
      <c r="D33" s="109"/>
      <c r="E33" s="110"/>
      <c r="F33" s="110"/>
      <c r="G33" s="96">
        <f t="shared" si="0"/>
        <v>0</v>
      </c>
    </row>
    <row r="34" spans="2:7" ht="15" customHeight="1">
      <c r="B34" s="10">
        <v>28</v>
      </c>
      <c r="C34" s="111"/>
      <c r="D34" s="109"/>
      <c r="E34" s="110"/>
      <c r="F34" s="110"/>
      <c r="G34" s="96">
        <f t="shared" si="0"/>
        <v>0</v>
      </c>
    </row>
    <row r="35" spans="2:7" ht="15" customHeight="1">
      <c r="B35" s="10">
        <v>29</v>
      </c>
      <c r="C35" s="111"/>
      <c r="D35" s="109"/>
      <c r="E35" s="110"/>
      <c r="F35" s="110"/>
      <c r="G35" s="96">
        <f t="shared" si="0"/>
        <v>0</v>
      </c>
    </row>
    <row r="36" spans="2:7" ht="15" customHeight="1">
      <c r="B36" s="10">
        <v>30</v>
      </c>
      <c r="C36" s="111"/>
      <c r="D36" s="109"/>
      <c r="E36" s="110"/>
      <c r="F36" s="110"/>
      <c r="G36" s="96">
        <f t="shared" si="0"/>
        <v>0</v>
      </c>
    </row>
    <row r="37" spans="2:7" ht="15" customHeight="1">
      <c r="B37" s="10">
        <v>31</v>
      </c>
      <c r="C37" s="111"/>
      <c r="D37" s="109"/>
      <c r="E37" s="110"/>
      <c r="F37" s="110"/>
      <c r="G37" s="96">
        <f t="shared" si="0"/>
        <v>0</v>
      </c>
    </row>
    <row r="38" spans="2:7" ht="15" customHeight="1">
      <c r="B38" s="10">
        <v>32</v>
      </c>
      <c r="C38" s="111"/>
      <c r="D38" s="109"/>
      <c r="E38" s="110"/>
      <c r="F38" s="110"/>
      <c r="G38" s="96">
        <f t="shared" si="0"/>
        <v>0</v>
      </c>
    </row>
    <row r="39" spans="2:7" ht="15" customHeight="1">
      <c r="B39" s="10">
        <v>33</v>
      </c>
      <c r="C39" s="111"/>
      <c r="D39" s="109"/>
      <c r="E39" s="110"/>
      <c r="F39" s="110"/>
      <c r="G39" s="96">
        <f t="shared" si="0"/>
        <v>0</v>
      </c>
    </row>
    <row r="40" spans="2:7" ht="15" customHeight="1">
      <c r="B40" s="10">
        <v>34</v>
      </c>
      <c r="C40" s="111"/>
      <c r="D40" s="109"/>
      <c r="E40" s="110"/>
      <c r="F40" s="110"/>
      <c r="G40" s="96">
        <f t="shared" si="0"/>
        <v>0</v>
      </c>
    </row>
    <row r="41" spans="2:7" ht="15" customHeight="1">
      <c r="B41" s="10">
        <v>35</v>
      </c>
      <c r="C41" s="111"/>
      <c r="D41" s="109"/>
      <c r="E41" s="110"/>
      <c r="F41" s="110"/>
      <c r="G41" s="96">
        <f t="shared" si="0"/>
        <v>0</v>
      </c>
    </row>
    <row r="42" spans="2:7" ht="15" customHeight="1">
      <c r="B42" s="10">
        <v>36</v>
      </c>
      <c r="C42" s="111"/>
      <c r="D42" s="109"/>
      <c r="E42" s="110"/>
      <c r="F42" s="110"/>
      <c r="G42" s="96">
        <f t="shared" si="0"/>
        <v>0</v>
      </c>
    </row>
    <row r="43" spans="2:7" ht="15" customHeight="1">
      <c r="B43" s="10">
        <v>37</v>
      </c>
      <c r="C43" s="111"/>
      <c r="D43" s="109"/>
      <c r="E43" s="110"/>
      <c r="F43" s="110"/>
      <c r="G43" s="96">
        <f t="shared" si="0"/>
        <v>0</v>
      </c>
    </row>
    <row r="44" spans="2:7" ht="15" customHeight="1">
      <c r="B44" s="10">
        <v>38</v>
      </c>
      <c r="C44" s="111"/>
      <c r="D44" s="109"/>
      <c r="E44" s="110"/>
      <c r="F44" s="110"/>
      <c r="G44" s="96">
        <f t="shared" si="0"/>
        <v>0</v>
      </c>
    </row>
    <row r="45" spans="2:7" ht="15" customHeight="1">
      <c r="B45" s="10">
        <v>39</v>
      </c>
      <c r="C45" s="111"/>
      <c r="D45" s="109"/>
      <c r="E45" s="110"/>
      <c r="F45" s="110"/>
      <c r="G45" s="96">
        <f t="shared" si="0"/>
        <v>0</v>
      </c>
    </row>
    <row r="46" spans="2:7" ht="15" customHeight="1">
      <c r="B46" s="10">
        <v>40</v>
      </c>
      <c r="C46" s="111"/>
      <c r="D46" s="109"/>
      <c r="E46" s="110"/>
      <c r="F46" s="110"/>
      <c r="G46" s="96">
        <f t="shared" si="0"/>
        <v>0</v>
      </c>
    </row>
    <row r="47" spans="2:7" ht="15" customHeight="1">
      <c r="B47" s="386" t="s">
        <v>11</v>
      </c>
      <c r="C47" s="386"/>
      <c r="D47" s="386"/>
      <c r="E47" s="33">
        <f>SUM(E7:E46)</f>
        <v>0</v>
      </c>
      <c r="F47" s="33">
        <f t="shared" ref="F47:G47" si="1">SUM(F7:F46)</f>
        <v>0</v>
      </c>
      <c r="G47" s="33">
        <f t="shared" si="1"/>
        <v>0</v>
      </c>
    </row>
    <row r="48" spans="2:7" ht="15" customHeight="1">
      <c r="B48" s="386" t="s">
        <v>15</v>
      </c>
      <c r="C48" s="386"/>
      <c r="D48" s="386"/>
      <c r="E48" s="32">
        <f>E47+E95+E142+E189</f>
        <v>0</v>
      </c>
      <c r="F48" s="32">
        <f t="shared" ref="F48:G48" si="2">F47+F95+F142+F189</f>
        <v>0</v>
      </c>
      <c r="G48" s="32">
        <f t="shared" si="2"/>
        <v>0</v>
      </c>
    </row>
    <row r="49" spans="2:7" ht="15.75" customHeight="1">
      <c r="B49" s="97"/>
      <c r="C49" s="97"/>
      <c r="D49" s="97"/>
      <c r="E49" s="98"/>
      <c r="F49" s="98"/>
      <c r="G49" s="98"/>
    </row>
    <row r="50" spans="2:7" ht="15.75" customHeight="1">
      <c r="D50" s="393" t="s">
        <v>192</v>
      </c>
      <c r="E50" s="393"/>
      <c r="F50" s="393"/>
    </row>
    <row r="51" spans="2:7" ht="15.75" customHeight="1">
      <c r="F51" s="394" t="str">
        <f>'지우지마세요!'!C3&amp;"년 "&amp;'지우지마세요!'!E3&amp;"월 "&amp;'지우지마세요!'!G3&amp;"일"</f>
        <v>2017년 3월 5일</v>
      </c>
      <c r="G51" s="395"/>
    </row>
    <row r="52" spans="2:7" ht="15.75" customHeight="1"/>
    <row r="53" spans="2:7" ht="15.75" customHeight="1">
      <c r="B53" s="396" t="s">
        <v>97</v>
      </c>
      <c r="C53" s="397" t="s">
        <v>99</v>
      </c>
      <c r="D53" s="227" t="s">
        <v>107</v>
      </c>
      <c r="E53" s="227" t="s">
        <v>108</v>
      </c>
      <c r="F53" s="227"/>
      <c r="G53" s="227" t="s">
        <v>101</v>
      </c>
    </row>
    <row r="54" spans="2:7" ht="15.75" customHeight="1">
      <c r="B54" s="396"/>
      <c r="C54" s="227"/>
      <c r="D54" s="227"/>
      <c r="E54" s="5" t="s">
        <v>109</v>
      </c>
      <c r="F54" s="5" t="s">
        <v>110</v>
      </c>
      <c r="G54" s="227"/>
    </row>
    <row r="55" spans="2:7" ht="15" customHeight="1">
      <c r="B55" s="10">
        <v>41</v>
      </c>
      <c r="C55" s="108"/>
      <c r="D55" s="116"/>
      <c r="E55" s="117"/>
      <c r="F55" s="117"/>
      <c r="G55" s="82">
        <f>E55+F55</f>
        <v>0</v>
      </c>
    </row>
    <row r="56" spans="2:7" ht="15" customHeight="1">
      <c r="B56" s="10">
        <v>42</v>
      </c>
      <c r="C56" s="108"/>
      <c r="D56" s="116"/>
      <c r="E56" s="117"/>
      <c r="F56" s="117"/>
      <c r="G56" s="82">
        <f t="shared" ref="G56:G94" si="3">E56+F56</f>
        <v>0</v>
      </c>
    </row>
    <row r="57" spans="2:7" ht="15" customHeight="1">
      <c r="B57" s="10">
        <v>43</v>
      </c>
      <c r="C57" s="108"/>
      <c r="D57" s="116"/>
      <c r="E57" s="117"/>
      <c r="F57" s="117"/>
      <c r="G57" s="82">
        <f t="shared" si="3"/>
        <v>0</v>
      </c>
    </row>
    <row r="58" spans="2:7" ht="15" customHeight="1">
      <c r="B58" s="10">
        <v>44</v>
      </c>
      <c r="C58" s="108"/>
      <c r="D58" s="116"/>
      <c r="E58" s="117"/>
      <c r="F58" s="117"/>
      <c r="G58" s="82">
        <f t="shared" si="3"/>
        <v>0</v>
      </c>
    </row>
    <row r="59" spans="2:7" ht="15" customHeight="1">
      <c r="B59" s="10">
        <v>45</v>
      </c>
      <c r="C59" s="108"/>
      <c r="D59" s="116"/>
      <c r="E59" s="117"/>
      <c r="F59" s="117"/>
      <c r="G59" s="82">
        <f t="shared" si="3"/>
        <v>0</v>
      </c>
    </row>
    <row r="60" spans="2:7" ht="15" customHeight="1">
      <c r="B60" s="10">
        <v>46</v>
      </c>
      <c r="C60" s="108"/>
      <c r="D60" s="116"/>
      <c r="E60" s="117"/>
      <c r="F60" s="117"/>
      <c r="G60" s="82">
        <f t="shared" si="3"/>
        <v>0</v>
      </c>
    </row>
    <row r="61" spans="2:7" ht="15" customHeight="1">
      <c r="B61" s="10">
        <v>47</v>
      </c>
      <c r="C61" s="108"/>
      <c r="D61" s="116"/>
      <c r="E61" s="117"/>
      <c r="F61" s="117"/>
      <c r="G61" s="82">
        <f t="shared" si="3"/>
        <v>0</v>
      </c>
    </row>
    <row r="62" spans="2:7" ht="15" customHeight="1">
      <c r="B62" s="10">
        <v>48</v>
      </c>
      <c r="C62" s="108"/>
      <c r="D62" s="116"/>
      <c r="E62" s="117"/>
      <c r="F62" s="117"/>
      <c r="G62" s="82">
        <f t="shared" si="3"/>
        <v>0</v>
      </c>
    </row>
    <row r="63" spans="2:7" ht="15" customHeight="1">
      <c r="B63" s="10">
        <v>49</v>
      </c>
      <c r="C63" s="108"/>
      <c r="D63" s="116"/>
      <c r="E63" s="117"/>
      <c r="F63" s="117"/>
      <c r="G63" s="82">
        <f t="shared" si="3"/>
        <v>0</v>
      </c>
    </row>
    <row r="64" spans="2:7" ht="15" customHeight="1">
      <c r="B64" s="10">
        <v>50</v>
      </c>
      <c r="C64" s="108"/>
      <c r="D64" s="116"/>
      <c r="E64" s="117"/>
      <c r="F64" s="117"/>
      <c r="G64" s="82">
        <f t="shared" si="3"/>
        <v>0</v>
      </c>
    </row>
    <row r="65" spans="2:7" ht="15" customHeight="1">
      <c r="B65" s="10">
        <v>51</v>
      </c>
      <c r="C65" s="108"/>
      <c r="D65" s="116"/>
      <c r="E65" s="117"/>
      <c r="F65" s="117"/>
      <c r="G65" s="82">
        <f t="shared" si="3"/>
        <v>0</v>
      </c>
    </row>
    <row r="66" spans="2:7" ht="15" customHeight="1">
      <c r="B66" s="10">
        <v>52</v>
      </c>
      <c r="C66" s="108"/>
      <c r="D66" s="116"/>
      <c r="E66" s="117"/>
      <c r="F66" s="117"/>
      <c r="G66" s="82">
        <f t="shared" si="3"/>
        <v>0</v>
      </c>
    </row>
    <row r="67" spans="2:7" ht="15" customHeight="1">
      <c r="B67" s="10">
        <v>53</v>
      </c>
      <c r="C67" s="108"/>
      <c r="D67" s="116"/>
      <c r="E67" s="117"/>
      <c r="F67" s="117"/>
      <c r="G67" s="82">
        <f t="shared" si="3"/>
        <v>0</v>
      </c>
    </row>
    <row r="68" spans="2:7" ht="15" customHeight="1">
      <c r="B68" s="10">
        <v>54</v>
      </c>
      <c r="C68" s="108"/>
      <c r="D68" s="116"/>
      <c r="E68" s="117"/>
      <c r="F68" s="117"/>
      <c r="G68" s="82">
        <f t="shared" si="3"/>
        <v>0</v>
      </c>
    </row>
    <row r="69" spans="2:7" ht="15" customHeight="1">
      <c r="B69" s="10">
        <v>55</v>
      </c>
      <c r="C69" s="108"/>
      <c r="D69" s="116"/>
      <c r="E69" s="117"/>
      <c r="F69" s="117"/>
      <c r="G69" s="82">
        <f t="shared" si="3"/>
        <v>0</v>
      </c>
    </row>
    <row r="70" spans="2:7" ht="15" customHeight="1">
      <c r="B70" s="10">
        <v>56</v>
      </c>
      <c r="C70" s="108"/>
      <c r="D70" s="116"/>
      <c r="E70" s="117"/>
      <c r="F70" s="117"/>
      <c r="G70" s="82">
        <f t="shared" si="3"/>
        <v>0</v>
      </c>
    </row>
    <row r="71" spans="2:7" ht="15" customHeight="1">
      <c r="B71" s="10">
        <v>57</v>
      </c>
      <c r="C71" s="108"/>
      <c r="D71" s="116"/>
      <c r="E71" s="117"/>
      <c r="F71" s="117"/>
      <c r="G71" s="82">
        <f t="shared" si="3"/>
        <v>0</v>
      </c>
    </row>
    <row r="72" spans="2:7" ht="15" customHeight="1">
      <c r="B72" s="10">
        <v>58</v>
      </c>
      <c r="C72" s="108"/>
      <c r="D72" s="116"/>
      <c r="E72" s="117"/>
      <c r="F72" s="117"/>
      <c r="G72" s="82">
        <f t="shared" si="3"/>
        <v>0</v>
      </c>
    </row>
    <row r="73" spans="2:7" ht="15" customHeight="1">
      <c r="B73" s="10">
        <v>59</v>
      </c>
      <c r="C73" s="108"/>
      <c r="D73" s="116"/>
      <c r="E73" s="117"/>
      <c r="F73" s="117"/>
      <c r="G73" s="82">
        <f t="shared" si="3"/>
        <v>0</v>
      </c>
    </row>
    <row r="74" spans="2:7" ht="15" customHeight="1">
      <c r="B74" s="10">
        <v>60</v>
      </c>
      <c r="C74" s="108"/>
      <c r="D74" s="116"/>
      <c r="E74" s="117"/>
      <c r="F74" s="117"/>
      <c r="G74" s="82">
        <f t="shared" si="3"/>
        <v>0</v>
      </c>
    </row>
    <row r="75" spans="2:7" ht="15" customHeight="1">
      <c r="B75" s="10">
        <v>61</v>
      </c>
      <c r="C75" s="108"/>
      <c r="D75" s="116"/>
      <c r="E75" s="117"/>
      <c r="F75" s="117"/>
      <c r="G75" s="82">
        <f t="shared" si="3"/>
        <v>0</v>
      </c>
    </row>
    <row r="76" spans="2:7" ht="15" customHeight="1">
      <c r="B76" s="10">
        <v>62</v>
      </c>
      <c r="C76" s="108"/>
      <c r="D76" s="116"/>
      <c r="E76" s="117"/>
      <c r="F76" s="117"/>
      <c r="G76" s="82">
        <f t="shared" si="3"/>
        <v>0</v>
      </c>
    </row>
    <row r="77" spans="2:7" ht="15" customHeight="1">
      <c r="B77" s="10">
        <v>63</v>
      </c>
      <c r="C77" s="108"/>
      <c r="D77" s="116"/>
      <c r="E77" s="117"/>
      <c r="F77" s="117"/>
      <c r="G77" s="82">
        <f t="shared" si="3"/>
        <v>0</v>
      </c>
    </row>
    <row r="78" spans="2:7" ht="15" customHeight="1">
      <c r="B78" s="10">
        <v>64</v>
      </c>
      <c r="C78" s="108"/>
      <c r="D78" s="116"/>
      <c r="E78" s="117"/>
      <c r="F78" s="117"/>
      <c r="G78" s="82">
        <f t="shared" si="3"/>
        <v>0</v>
      </c>
    </row>
    <row r="79" spans="2:7" ht="15" customHeight="1">
      <c r="B79" s="10">
        <v>65</v>
      </c>
      <c r="C79" s="108"/>
      <c r="D79" s="116"/>
      <c r="E79" s="117"/>
      <c r="F79" s="117"/>
      <c r="G79" s="82">
        <f t="shared" si="3"/>
        <v>0</v>
      </c>
    </row>
    <row r="80" spans="2:7" ht="15" customHeight="1">
      <c r="B80" s="10">
        <v>66</v>
      </c>
      <c r="C80" s="108"/>
      <c r="D80" s="116"/>
      <c r="E80" s="117"/>
      <c r="F80" s="117"/>
      <c r="G80" s="82">
        <f t="shared" si="3"/>
        <v>0</v>
      </c>
    </row>
    <row r="81" spans="2:7" ht="15" customHeight="1">
      <c r="B81" s="10">
        <v>67</v>
      </c>
      <c r="C81" s="108"/>
      <c r="D81" s="116"/>
      <c r="E81" s="117"/>
      <c r="F81" s="117"/>
      <c r="G81" s="82">
        <f t="shared" si="3"/>
        <v>0</v>
      </c>
    </row>
    <row r="82" spans="2:7" ht="15" customHeight="1">
      <c r="B82" s="10">
        <v>68</v>
      </c>
      <c r="C82" s="108"/>
      <c r="D82" s="116"/>
      <c r="E82" s="117"/>
      <c r="F82" s="117"/>
      <c r="G82" s="82">
        <f t="shared" si="3"/>
        <v>0</v>
      </c>
    </row>
    <row r="83" spans="2:7" ht="15" customHeight="1">
      <c r="B83" s="10">
        <v>69</v>
      </c>
      <c r="C83" s="108"/>
      <c r="D83" s="116"/>
      <c r="E83" s="117"/>
      <c r="F83" s="117"/>
      <c r="G83" s="82">
        <f t="shared" si="3"/>
        <v>0</v>
      </c>
    </row>
    <row r="84" spans="2:7" ht="15" customHeight="1">
      <c r="B84" s="10">
        <v>70</v>
      </c>
      <c r="C84" s="108"/>
      <c r="D84" s="116"/>
      <c r="E84" s="117"/>
      <c r="F84" s="117"/>
      <c r="G84" s="82">
        <f t="shared" si="3"/>
        <v>0</v>
      </c>
    </row>
    <row r="85" spans="2:7" ht="15" customHeight="1">
      <c r="B85" s="10">
        <v>71</v>
      </c>
      <c r="C85" s="108"/>
      <c r="D85" s="116"/>
      <c r="E85" s="117"/>
      <c r="F85" s="117"/>
      <c r="G85" s="82">
        <f t="shared" si="3"/>
        <v>0</v>
      </c>
    </row>
    <row r="86" spans="2:7" ht="15" customHeight="1">
      <c r="B86" s="10">
        <v>72</v>
      </c>
      <c r="C86" s="108"/>
      <c r="D86" s="116"/>
      <c r="E86" s="117"/>
      <c r="F86" s="117"/>
      <c r="G86" s="82">
        <f t="shared" si="3"/>
        <v>0</v>
      </c>
    </row>
    <row r="87" spans="2:7" ht="15" customHeight="1">
      <c r="B87" s="10">
        <v>73</v>
      </c>
      <c r="C87" s="108"/>
      <c r="D87" s="116"/>
      <c r="E87" s="117"/>
      <c r="F87" s="117"/>
      <c r="G87" s="82">
        <f t="shared" si="3"/>
        <v>0</v>
      </c>
    </row>
    <row r="88" spans="2:7" ht="15" customHeight="1">
      <c r="B88" s="10">
        <v>74</v>
      </c>
      <c r="C88" s="108"/>
      <c r="D88" s="116"/>
      <c r="E88" s="117"/>
      <c r="F88" s="117"/>
      <c r="G88" s="82">
        <f t="shared" si="3"/>
        <v>0</v>
      </c>
    </row>
    <row r="89" spans="2:7" ht="15" customHeight="1">
      <c r="B89" s="10">
        <v>75</v>
      </c>
      <c r="C89" s="108"/>
      <c r="D89" s="116"/>
      <c r="E89" s="117"/>
      <c r="F89" s="117"/>
      <c r="G89" s="82">
        <f t="shared" si="3"/>
        <v>0</v>
      </c>
    </row>
    <row r="90" spans="2:7" ht="15" customHeight="1">
      <c r="B90" s="10">
        <v>76</v>
      </c>
      <c r="C90" s="108"/>
      <c r="D90" s="116"/>
      <c r="E90" s="117"/>
      <c r="F90" s="117"/>
      <c r="G90" s="82">
        <f t="shared" si="3"/>
        <v>0</v>
      </c>
    </row>
    <row r="91" spans="2:7" ht="15" customHeight="1">
      <c r="B91" s="10">
        <v>77</v>
      </c>
      <c r="C91" s="108"/>
      <c r="D91" s="116"/>
      <c r="E91" s="117"/>
      <c r="F91" s="117"/>
      <c r="G91" s="82">
        <f t="shared" si="3"/>
        <v>0</v>
      </c>
    </row>
    <row r="92" spans="2:7" ht="15" customHeight="1">
      <c r="B92" s="10">
        <v>78</v>
      </c>
      <c r="C92" s="108"/>
      <c r="D92" s="116"/>
      <c r="E92" s="117"/>
      <c r="F92" s="117"/>
      <c r="G92" s="82">
        <f t="shared" si="3"/>
        <v>0</v>
      </c>
    </row>
    <row r="93" spans="2:7" ht="15" customHeight="1">
      <c r="B93" s="10">
        <v>79</v>
      </c>
      <c r="C93" s="108"/>
      <c r="D93" s="116"/>
      <c r="E93" s="117"/>
      <c r="F93" s="117"/>
      <c r="G93" s="82">
        <f t="shared" si="3"/>
        <v>0</v>
      </c>
    </row>
    <row r="94" spans="2:7" ht="15" customHeight="1">
      <c r="B94" s="10">
        <v>80</v>
      </c>
      <c r="C94" s="108"/>
      <c r="D94" s="116"/>
      <c r="E94" s="117"/>
      <c r="F94" s="117"/>
      <c r="G94" s="82">
        <f t="shared" si="3"/>
        <v>0</v>
      </c>
    </row>
    <row r="95" spans="2:7" ht="15" customHeight="1">
      <c r="B95" s="386" t="s">
        <v>11</v>
      </c>
      <c r="C95" s="386"/>
      <c r="D95" s="386"/>
      <c r="E95" s="33">
        <f>SUM(E55:E94)</f>
        <v>0</v>
      </c>
      <c r="F95" s="33">
        <f t="shared" ref="F95:G95" si="4">SUM(F55:F94)</f>
        <v>0</v>
      </c>
      <c r="G95" s="33">
        <f t="shared" si="4"/>
        <v>0</v>
      </c>
    </row>
    <row r="96" spans="2:7" ht="15.75" customHeight="1"/>
    <row r="97" spans="2:7" ht="15.75" customHeight="1">
      <c r="D97" s="393" t="s">
        <v>191</v>
      </c>
      <c r="E97" s="393"/>
      <c r="F97" s="393"/>
    </row>
    <row r="98" spans="2:7" ht="15.75" customHeight="1">
      <c r="F98" s="394" t="str">
        <f>'지우지마세요!'!C3&amp;"년 "&amp;'지우지마세요!'!E3&amp;"월 "&amp;'지우지마세요!'!G3&amp;"일"</f>
        <v>2017년 3월 5일</v>
      </c>
      <c r="G98" s="395"/>
    </row>
    <row r="99" spans="2:7" ht="15.75" customHeight="1"/>
    <row r="100" spans="2:7" ht="15.75" customHeight="1">
      <c r="B100" s="396" t="s">
        <v>30</v>
      </c>
      <c r="C100" s="397" t="s">
        <v>98</v>
      </c>
      <c r="D100" s="227" t="s">
        <v>104</v>
      </c>
      <c r="E100" s="227" t="s">
        <v>100</v>
      </c>
      <c r="F100" s="227"/>
      <c r="G100" s="227" t="s">
        <v>15</v>
      </c>
    </row>
    <row r="101" spans="2:7" ht="15.75" customHeight="1">
      <c r="B101" s="396"/>
      <c r="C101" s="227"/>
      <c r="D101" s="227"/>
      <c r="E101" s="5" t="s">
        <v>102</v>
      </c>
      <c r="F101" s="5" t="s">
        <v>103</v>
      </c>
      <c r="G101" s="227"/>
    </row>
    <row r="102" spans="2:7" ht="15" customHeight="1">
      <c r="B102" s="10">
        <v>81</v>
      </c>
      <c r="C102" s="108"/>
      <c r="D102" s="116"/>
      <c r="E102" s="117"/>
      <c r="F102" s="117"/>
      <c r="G102" s="82">
        <f>E102+F102</f>
        <v>0</v>
      </c>
    </row>
    <row r="103" spans="2:7" ht="15" customHeight="1">
      <c r="B103" s="10">
        <v>82</v>
      </c>
      <c r="C103" s="108"/>
      <c r="D103" s="116"/>
      <c r="E103" s="117"/>
      <c r="F103" s="117"/>
      <c r="G103" s="82">
        <f t="shared" ref="G103:G141" si="5">E103+F103</f>
        <v>0</v>
      </c>
    </row>
    <row r="104" spans="2:7" ht="15" customHeight="1">
      <c r="B104" s="10">
        <v>83</v>
      </c>
      <c r="C104" s="108"/>
      <c r="D104" s="116"/>
      <c r="E104" s="117"/>
      <c r="F104" s="117"/>
      <c r="G104" s="82">
        <f t="shared" si="5"/>
        <v>0</v>
      </c>
    </row>
    <row r="105" spans="2:7" ht="15" customHeight="1">
      <c r="B105" s="10">
        <v>84</v>
      </c>
      <c r="C105" s="108"/>
      <c r="D105" s="116"/>
      <c r="E105" s="117"/>
      <c r="F105" s="117"/>
      <c r="G105" s="82">
        <f t="shared" si="5"/>
        <v>0</v>
      </c>
    </row>
    <row r="106" spans="2:7" ht="15" customHeight="1">
      <c r="B106" s="10">
        <v>85</v>
      </c>
      <c r="C106" s="108"/>
      <c r="D106" s="116"/>
      <c r="E106" s="117"/>
      <c r="F106" s="117"/>
      <c r="G106" s="82">
        <f t="shared" si="5"/>
        <v>0</v>
      </c>
    </row>
    <row r="107" spans="2:7" ht="15" customHeight="1">
      <c r="B107" s="10">
        <v>86</v>
      </c>
      <c r="C107" s="108"/>
      <c r="D107" s="116"/>
      <c r="E107" s="117"/>
      <c r="F107" s="117"/>
      <c r="G107" s="82">
        <f t="shared" si="5"/>
        <v>0</v>
      </c>
    </row>
    <row r="108" spans="2:7" ht="15" customHeight="1">
      <c r="B108" s="10">
        <v>87</v>
      </c>
      <c r="C108" s="108"/>
      <c r="D108" s="116"/>
      <c r="E108" s="117"/>
      <c r="F108" s="117"/>
      <c r="G108" s="82">
        <f t="shared" si="5"/>
        <v>0</v>
      </c>
    </row>
    <row r="109" spans="2:7" ht="15" customHeight="1">
      <c r="B109" s="10">
        <v>88</v>
      </c>
      <c r="C109" s="108"/>
      <c r="D109" s="116"/>
      <c r="E109" s="117"/>
      <c r="F109" s="117"/>
      <c r="G109" s="82">
        <f t="shared" si="5"/>
        <v>0</v>
      </c>
    </row>
    <row r="110" spans="2:7" ht="15" customHeight="1">
      <c r="B110" s="10">
        <v>89</v>
      </c>
      <c r="C110" s="108"/>
      <c r="D110" s="116"/>
      <c r="E110" s="117"/>
      <c r="F110" s="117"/>
      <c r="G110" s="82">
        <f t="shared" si="5"/>
        <v>0</v>
      </c>
    </row>
    <row r="111" spans="2:7" ht="15" customHeight="1">
      <c r="B111" s="10">
        <v>90</v>
      </c>
      <c r="C111" s="108"/>
      <c r="D111" s="116"/>
      <c r="E111" s="117"/>
      <c r="F111" s="117"/>
      <c r="G111" s="82">
        <f t="shared" si="5"/>
        <v>0</v>
      </c>
    </row>
    <row r="112" spans="2:7" ht="15" customHeight="1">
      <c r="B112" s="10">
        <v>91</v>
      </c>
      <c r="C112" s="108"/>
      <c r="D112" s="116"/>
      <c r="E112" s="117"/>
      <c r="F112" s="117"/>
      <c r="G112" s="82">
        <f t="shared" si="5"/>
        <v>0</v>
      </c>
    </row>
    <row r="113" spans="2:7" ht="15" customHeight="1">
      <c r="B113" s="10">
        <v>92</v>
      </c>
      <c r="C113" s="108"/>
      <c r="D113" s="116"/>
      <c r="E113" s="117"/>
      <c r="F113" s="117"/>
      <c r="G113" s="82">
        <f t="shared" si="5"/>
        <v>0</v>
      </c>
    </row>
    <row r="114" spans="2:7" ht="15" customHeight="1">
      <c r="B114" s="10">
        <v>93</v>
      </c>
      <c r="C114" s="108"/>
      <c r="D114" s="116"/>
      <c r="E114" s="117"/>
      <c r="F114" s="117"/>
      <c r="G114" s="82">
        <f t="shared" si="5"/>
        <v>0</v>
      </c>
    </row>
    <row r="115" spans="2:7" ht="15" customHeight="1">
      <c r="B115" s="10">
        <v>94</v>
      </c>
      <c r="C115" s="108"/>
      <c r="D115" s="116"/>
      <c r="E115" s="117"/>
      <c r="F115" s="117"/>
      <c r="G115" s="82">
        <f t="shared" si="5"/>
        <v>0</v>
      </c>
    </row>
    <row r="116" spans="2:7" ht="15" customHeight="1">
      <c r="B116" s="10">
        <v>95</v>
      </c>
      <c r="C116" s="108"/>
      <c r="D116" s="116"/>
      <c r="E116" s="117"/>
      <c r="F116" s="117"/>
      <c r="G116" s="82">
        <f t="shared" si="5"/>
        <v>0</v>
      </c>
    </row>
    <row r="117" spans="2:7" ht="15" customHeight="1">
      <c r="B117" s="10">
        <v>96</v>
      </c>
      <c r="C117" s="108"/>
      <c r="D117" s="116"/>
      <c r="E117" s="117"/>
      <c r="F117" s="117"/>
      <c r="G117" s="82"/>
    </row>
    <row r="118" spans="2:7" ht="15" customHeight="1">
      <c r="B118" s="10">
        <v>97</v>
      </c>
      <c r="C118" s="108"/>
      <c r="D118" s="116"/>
      <c r="E118" s="117"/>
      <c r="F118" s="117"/>
      <c r="G118" s="82"/>
    </row>
    <row r="119" spans="2:7" ht="15" customHeight="1">
      <c r="B119" s="10">
        <v>98</v>
      </c>
      <c r="C119" s="108"/>
      <c r="D119" s="116"/>
      <c r="E119" s="117"/>
      <c r="F119" s="117"/>
      <c r="G119" s="82"/>
    </row>
    <row r="120" spans="2:7" ht="15" customHeight="1">
      <c r="B120" s="10">
        <v>99</v>
      </c>
      <c r="C120" s="108"/>
      <c r="D120" s="116"/>
      <c r="E120" s="117"/>
      <c r="F120" s="117"/>
      <c r="G120" s="82"/>
    </row>
    <row r="121" spans="2:7" ht="15" customHeight="1">
      <c r="B121" s="10">
        <v>100</v>
      </c>
      <c r="C121" s="108"/>
      <c r="D121" s="116"/>
      <c r="E121" s="117"/>
      <c r="F121" s="117"/>
      <c r="G121" s="82"/>
    </row>
    <row r="122" spans="2:7" ht="15" customHeight="1">
      <c r="B122" s="10">
        <v>101</v>
      </c>
      <c r="C122" s="108"/>
      <c r="D122" s="116"/>
      <c r="E122" s="117"/>
      <c r="F122" s="117"/>
      <c r="G122" s="82">
        <f t="shared" si="5"/>
        <v>0</v>
      </c>
    </row>
    <row r="123" spans="2:7" ht="15" customHeight="1">
      <c r="B123" s="10">
        <v>102</v>
      </c>
      <c r="C123" s="108"/>
      <c r="D123" s="116"/>
      <c r="E123" s="117"/>
      <c r="F123" s="117"/>
      <c r="G123" s="82">
        <f t="shared" si="5"/>
        <v>0</v>
      </c>
    </row>
    <row r="124" spans="2:7" ht="15" customHeight="1">
      <c r="B124" s="10">
        <v>103</v>
      </c>
      <c r="C124" s="108"/>
      <c r="D124" s="116"/>
      <c r="E124" s="117"/>
      <c r="F124" s="117"/>
      <c r="G124" s="82">
        <f t="shared" si="5"/>
        <v>0</v>
      </c>
    </row>
    <row r="125" spans="2:7" ht="15" customHeight="1">
      <c r="B125" s="10">
        <v>104</v>
      </c>
      <c r="C125" s="108"/>
      <c r="D125" s="116"/>
      <c r="E125" s="117"/>
      <c r="F125" s="117"/>
      <c r="G125" s="82">
        <f t="shared" si="5"/>
        <v>0</v>
      </c>
    </row>
    <row r="126" spans="2:7" ht="15" customHeight="1">
      <c r="B126" s="10">
        <v>105</v>
      </c>
      <c r="C126" s="108"/>
      <c r="D126" s="116"/>
      <c r="E126" s="117"/>
      <c r="F126" s="117"/>
      <c r="G126" s="82">
        <f t="shared" si="5"/>
        <v>0</v>
      </c>
    </row>
    <row r="127" spans="2:7" ht="15" customHeight="1">
      <c r="B127" s="10">
        <v>106</v>
      </c>
      <c r="C127" s="108"/>
      <c r="D127" s="116"/>
      <c r="E127" s="117"/>
      <c r="F127" s="117"/>
      <c r="G127" s="82">
        <f t="shared" si="5"/>
        <v>0</v>
      </c>
    </row>
    <row r="128" spans="2:7" ht="15" customHeight="1">
      <c r="B128" s="10">
        <v>107</v>
      </c>
      <c r="C128" s="108"/>
      <c r="D128" s="116"/>
      <c r="E128" s="117"/>
      <c r="F128" s="117"/>
      <c r="G128" s="82"/>
    </row>
    <row r="129" spans="2:7" ht="15" customHeight="1">
      <c r="B129" s="10">
        <v>108</v>
      </c>
      <c r="C129" s="108"/>
      <c r="D129" s="116"/>
      <c r="E129" s="117"/>
      <c r="F129" s="117"/>
      <c r="G129" s="82"/>
    </row>
    <row r="130" spans="2:7" ht="15" customHeight="1">
      <c r="B130" s="10">
        <v>109</v>
      </c>
      <c r="C130" s="108"/>
      <c r="D130" s="116"/>
      <c r="E130" s="117"/>
      <c r="F130" s="117"/>
      <c r="G130" s="82"/>
    </row>
    <row r="131" spans="2:7" ht="15" customHeight="1">
      <c r="B131" s="10">
        <v>110</v>
      </c>
      <c r="C131" s="108"/>
      <c r="D131" s="116"/>
      <c r="E131" s="117"/>
      <c r="F131" s="117"/>
      <c r="G131" s="82"/>
    </row>
    <row r="132" spans="2:7" ht="15" customHeight="1">
      <c r="B132" s="10">
        <v>111</v>
      </c>
      <c r="C132" s="108"/>
      <c r="D132" s="116"/>
      <c r="E132" s="117"/>
      <c r="F132" s="117"/>
      <c r="G132" s="82"/>
    </row>
    <row r="133" spans="2:7" ht="15" customHeight="1">
      <c r="B133" s="10">
        <v>112</v>
      </c>
      <c r="C133" s="108"/>
      <c r="D133" s="116"/>
      <c r="E133" s="117"/>
      <c r="F133" s="117"/>
      <c r="G133" s="82">
        <f t="shared" si="5"/>
        <v>0</v>
      </c>
    </row>
    <row r="134" spans="2:7" ht="15" customHeight="1">
      <c r="B134" s="10">
        <v>113</v>
      </c>
      <c r="C134" s="108"/>
      <c r="D134" s="116"/>
      <c r="E134" s="117"/>
      <c r="F134" s="117"/>
      <c r="G134" s="82">
        <f t="shared" si="5"/>
        <v>0</v>
      </c>
    </row>
    <row r="135" spans="2:7" ht="15" customHeight="1">
      <c r="B135" s="10">
        <v>114</v>
      </c>
      <c r="C135" s="108"/>
      <c r="D135" s="116"/>
      <c r="E135" s="117"/>
      <c r="F135" s="117"/>
      <c r="G135" s="82">
        <f t="shared" si="5"/>
        <v>0</v>
      </c>
    </row>
    <row r="136" spans="2:7" ht="15" customHeight="1">
      <c r="B136" s="10">
        <v>115</v>
      </c>
      <c r="C136" s="108"/>
      <c r="D136" s="116"/>
      <c r="E136" s="117"/>
      <c r="F136" s="117"/>
      <c r="G136" s="82">
        <f t="shared" si="5"/>
        <v>0</v>
      </c>
    </row>
    <row r="137" spans="2:7" ht="15" customHeight="1">
      <c r="B137" s="10">
        <v>116</v>
      </c>
      <c r="C137" s="108"/>
      <c r="D137" s="116"/>
      <c r="E137" s="117"/>
      <c r="F137" s="117"/>
      <c r="G137" s="82">
        <f t="shared" si="5"/>
        <v>0</v>
      </c>
    </row>
    <row r="138" spans="2:7" ht="15" customHeight="1">
      <c r="B138" s="10">
        <v>117</v>
      </c>
      <c r="C138" s="108"/>
      <c r="D138" s="116"/>
      <c r="E138" s="117"/>
      <c r="F138" s="117"/>
      <c r="G138" s="82">
        <f t="shared" si="5"/>
        <v>0</v>
      </c>
    </row>
    <row r="139" spans="2:7" ht="15" customHeight="1">
      <c r="B139" s="10">
        <v>118</v>
      </c>
      <c r="C139" s="108"/>
      <c r="D139" s="116"/>
      <c r="E139" s="117"/>
      <c r="F139" s="117"/>
      <c r="G139" s="82">
        <f t="shared" si="5"/>
        <v>0</v>
      </c>
    </row>
    <row r="140" spans="2:7" ht="15" customHeight="1">
      <c r="B140" s="10">
        <v>119</v>
      </c>
      <c r="C140" s="108"/>
      <c r="D140" s="116"/>
      <c r="E140" s="117"/>
      <c r="F140" s="117"/>
      <c r="G140" s="82">
        <f t="shared" si="5"/>
        <v>0</v>
      </c>
    </row>
    <row r="141" spans="2:7" ht="15" customHeight="1">
      <c r="B141" s="10">
        <v>120</v>
      </c>
      <c r="C141" s="108"/>
      <c r="D141" s="116"/>
      <c r="E141" s="117"/>
      <c r="F141" s="117"/>
      <c r="G141" s="82">
        <f t="shared" si="5"/>
        <v>0</v>
      </c>
    </row>
    <row r="142" spans="2:7" ht="15" customHeight="1">
      <c r="B142" s="386" t="s">
        <v>111</v>
      </c>
      <c r="C142" s="386"/>
      <c r="D142" s="386"/>
      <c r="E142" s="33">
        <f>SUM(E102:E141)</f>
        <v>0</v>
      </c>
      <c r="F142" s="33">
        <f t="shared" ref="F142:G142" si="6">SUM(F102:F141)</f>
        <v>0</v>
      </c>
      <c r="G142" s="33">
        <f t="shared" si="6"/>
        <v>0</v>
      </c>
    </row>
    <row r="143" spans="2:7" ht="15.75" customHeight="1"/>
    <row r="144" spans="2:7" ht="15.75" customHeight="1">
      <c r="D144" s="393" t="s">
        <v>190</v>
      </c>
      <c r="E144" s="393"/>
      <c r="F144" s="393"/>
    </row>
    <row r="145" spans="2:7" ht="15.75" customHeight="1">
      <c r="F145" s="394" t="str">
        <f>'지우지마세요!'!C3&amp;"년 "&amp;'지우지마세요!'!E3&amp;"월 "&amp;'지우지마세요!'!G3&amp;"일"</f>
        <v>2017년 3월 5일</v>
      </c>
      <c r="G145" s="395"/>
    </row>
    <row r="146" spans="2:7" ht="15.75" customHeight="1"/>
    <row r="147" spans="2:7" ht="15.75" customHeight="1">
      <c r="B147" s="396" t="s">
        <v>30</v>
      </c>
      <c r="C147" s="397" t="s">
        <v>98</v>
      </c>
      <c r="D147" s="227" t="s">
        <v>104</v>
      </c>
      <c r="E147" s="227" t="s">
        <v>100</v>
      </c>
      <c r="F147" s="227"/>
      <c r="G147" s="227" t="s">
        <v>15</v>
      </c>
    </row>
    <row r="148" spans="2:7" ht="15.75" customHeight="1">
      <c r="B148" s="396"/>
      <c r="C148" s="227"/>
      <c r="D148" s="227"/>
      <c r="E148" s="81" t="s">
        <v>102</v>
      </c>
      <c r="F148" s="81" t="s">
        <v>103</v>
      </c>
      <c r="G148" s="227"/>
    </row>
    <row r="149" spans="2:7" ht="15" customHeight="1">
      <c r="B149" s="81">
        <v>121</v>
      </c>
      <c r="C149" s="108"/>
      <c r="D149" s="116"/>
      <c r="E149" s="117"/>
      <c r="F149" s="117"/>
      <c r="G149" s="82">
        <f>E149+F149</f>
        <v>0</v>
      </c>
    </row>
    <row r="150" spans="2:7" ht="15" customHeight="1">
      <c r="B150" s="81">
        <v>122</v>
      </c>
      <c r="C150" s="108"/>
      <c r="D150" s="116"/>
      <c r="E150" s="117"/>
      <c r="F150" s="117"/>
      <c r="G150" s="82">
        <f t="shared" ref="G150:G163" si="7">E150+F150</f>
        <v>0</v>
      </c>
    </row>
    <row r="151" spans="2:7" ht="15" customHeight="1">
      <c r="B151" s="81">
        <v>123</v>
      </c>
      <c r="C151" s="108"/>
      <c r="D151" s="116"/>
      <c r="E151" s="117"/>
      <c r="F151" s="117"/>
      <c r="G151" s="82">
        <f t="shared" si="7"/>
        <v>0</v>
      </c>
    </row>
    <row r="152" spans="2:7" ht="15" customHeight="1">
      <c r="B152" s="81">
        <v>124</v>
      </c>
      <c r="C152" s="108"/>
      <c r="D152" s="116"/>
      <c r="E152" s="117"/>
      <c r="F152" s="117"/>
      <c r="G152" s="82">
        <f t="shared" si="7"/>
        <v>0</v>
      </c>
    </row>
    <row r="153" spans="2:7" ht="15" customHeight="1">
      <c r="B153" s="81">
        <v>125</v>
      </c>
      <c r="C153" s="108"/>
      <c r="D153" s="116"/>
      <c r="E153" s="117"/>
      <c r="F153" s="117"/>
      <c r="G153" s="82">
        <f t="shared" si="7"/>
        <v>0</v>
      </c>
    </row>
    <row r="154" spans="2:7" ht="15" customHeight="1">
      <c r="B154" s="81">
        <v>126</v>
      </c>
      <c r="C154" s="108"/>
      <c r="D154" s="116"/>
      <c r="E154" s="117"/>
      <c r="F154" s="117"/>
      <c r="G154" s="82">
        <f t="shared" si="7"/>
        <v>0</v>
      </c>
    </row>
    <row r="155" spans="2:7" ht="15" customHeight="1">
      <c r="B155" s="81">
        <v>127</v>
      </c>
      <c r="C155" s="108"/>
      <c r="D155" s="116"/>
      <c r="E155" s="117"/>
      <c r="F155" s="117"/>
      <c r="G155" s="82">
        <f t="shared" si="7"/>
        <v>0</v>
      </c>
    </row>
    <row r="156" spans="2:7" ht="15" customHeight="1">
      <c r="B156" s="81">
        <v>128</v>
      </c>
      <c r="C156" s="108"/>
      <c r="D156" s="116"/>
      <c r="E156" s="117"/>
      <c r="F156" s="117"/>
      <c r="G156" s="82">
        <f t="shared" si="7"/>
        <v>0</v>
      </c>
    </row>
    <row r="157" spans="2:7" ht="15" customHeight="1">
      <c r="B157" s="81">
        <v>129</v>
      </c>
      <c r="C157" s="108"/>
      <c r="D157" s="116"/>
      <c r="E157" s="117"/>
      <c r="F157" s="117"/>
      <c r="G157" s="82">
        <f t="shared" si="7"/>
        <v>0</v>
      </c>
    </row>
    <row r="158" spans="2:7" ht="15" customHeight="1">
      <c r="B158" s="81">
        <v>130</v>
      </c>
      <c r="C158" s="108"/>
      <c r="D158" s="116"/>
      <c r="E158" s="117"/>
      <c r="F158" s="117"/>
      <c r="G158" s="82">
        <f t="shared" si="7"/>
        <v>0</v>
      </c>
    </row>
    <row r="159" spans="2:7" ht="15" customHeight="1">
      <c r="B159" s="81">
        <v>131</v>
      </c>
      <c r="C159" s="108"/>
      <c r="D159" s="116"/>
      <c r="E159" s="117"/>
      <c r="F159" s="117"/>
      <c r="G159" s="82">
        <f t="shared" si="7"/>
        <v>0</v>
      </c>
    </row>
    <row r="160" spans="2:7" ht="15" customHeight="1">
      <c r="B160" s="81">
        <v>132</v>
      </c>
      <c r="C160" s="108"/>
      <c r="D160" s="116"/>
      <c r="E160" s="117"/>
      <c r="F160" s="117"/>
      <c r="G160" s="82">
        <f t="shared" si="7"/>
        <v>0</v>
      </c>
    </row>
    <row r="161" spans="2:7" ht="15" customHeight="1">
      <c r="B161" s="81">
        <v>133</v>
      </c>
      <c r="C161" s="108"/>
      <c r="D161" s="116"/>
      <c r="E161" s="117"/>
      <c r="F161" s="117"/>
      <c r="G161" s="82">
        <f t="shared" si="7"/>
        <v>0</v>
      </c>
    </row>
    <row r="162" spans="2:7" ht="15" customHeight="1">
      <c r="B162" s="81">
        <v>134</v>
      </c>
      <c r="C162" s="108"/>
      <c r="D162" s="116"/>
      <c r="E162" s="117"/>
      <c r="F162" s="117"/>
      <c r="G162" s="82">
        <f t="shared" si="7"/>
        <v>0</v>
      </c>
    </row>
    <row r="163" spans="2:7" ht="15" customHeight="1">
      <c r="B163" s="81">
        <v>135</v>
      </c>
      <c r="C163" s="108"/>
      <c r="D163" s="116"/>
      <c r="E163" s="117"/>
      <c r="F163" s="117"/>
      <c r="G163" s="82">
        <f t="shared" si="7"/>
        <v>0</v>
      </c>
    </row>
    <row r="164" spans="2:7" ht="15" customHeight="1">
      <c r="B164" s="81">
        <v>136</v>
      </c>
      <c r="C164" s="108"/>
      <c r="D164" s="116"/>
      <c r="E164" s="117"/>
      <c r="F164" s="117"/>
      <c r="G164" s="82"/>
    </row>
    <row r="165" spans="2:7" ht="15" customHeight="1">
      <c r="B165" s="81">
        <v>137</v>
      </c>
      <c r="C165" s="108"/>
      <c r="D165" s="116"/>
      <c r="E165" s="117"/>
      <c r="F165" s="117"/>
      <c r="G165" s="82"/>
    </row>
    <row r="166" spans="2:7" ht="15" customHeight="1">
      <c r="B166" s="81">
        <v>138</v>
      </c>
      <c r="C166" s="108"/>
      <c r="D166" s="116"/>
      <c r="E166" s="117"/>
      <c r="F166" s="117"/>
      <c r="G166" s="82"/>
    </row>
    <row r="167" spans="2:7" ht="15" customHeight="1">
      <c r="B167" s="81">
        <v>139</v>
      </c>
      <c r="C167" s="108"/>
      <c r="D167" s="116"/>
      <c r="E167" s="117"/>
      <c r="F167" s="117"/>
      <c r="G167" s="82"/>
    </row>
    <row r="168" spans="2:7" ht="15" customHeight="1">
      <c r="B168" s="81">
        <v>140</v>
      </c>
      <c r="C168" s="108"/>
      <c r="D168" s="116"/>
      <c r="E168" s="117"/>
      <c r="F168" s="117"/>
      <c r="G168" s="82"/>
    </row>
    <row r="169" spans="2:7" ht="15" customHeight="1">
      <c r="B169" s="81">
        <v>141</v>
      </c>
      <c r="C169" s="108"/>
      <c r="D169" s="116"/>
      <c r="E169" s="117"/>
      <c r="F169" s="117"/>
      <c r="G169" s="82">
        <f t="shared" ref="G169:G174" si="8">E169+F169</f>
        <v>0</v>
      </c>
    </row>
    <row r="170" spans="2:7" ht="15" customHeight="1">
      <c r="B170" s="81">
        <v>142</v>
      </c>
      <c r="C170" s="108"/>
      <c r="D170" s="116"/>
      <c r="E170" s="117"/>
      <c r="F170" s="117"/>
      <c r="G170" s="82">
        <f t="shared" si="8"/>
        <v>0</v>
      </c>
    </row>
    <row r="171" spans="2:7" ht="15" customHeight="1">
      <c r="B171" s="81">
        <v>143</v>
      </c>
      <c r="C171" s="108"/>
      <c r="D171" s="116"/>
      <c r="E171" s="117"/>
      <c r="F171" s="117"/>
      <c r="G171" s="82">
        <f t="shared" si="8"/>
        <v>0</v>
      </c>
    </row>
    <row r="172" spans="2:7" ht="15" customHeight="1">
      <c r="B172" s="81">
        <v>144</v>
      </c>
      <c r="C172" s="108"/>
      <c r="D172" s="116"/>
      <c r="E172" s="117"/>
      <c r="F172" s="117"/>
      <c r="G172" s="82">
        <f t="shared" si="8"/>
        <v>0</v>
      </c>
    </row>
    <row r="173" spans="2:7" ht="15" customHeight="1">
      <c r="B173" s="81">
        <v>145</v>
      </c>
      <c r="C173" s="108"/>
      <c r="D173" s="116"/>
      <c r="E173" s="117"/>
      <c r="F173" s="117"/>
      <c r="G173" s="82">
        <f t="shared" si="8"/>
        <v>0</v>
      </c>
    </row>
    <row r="174" spans="2:7" ht="15" customHeight="1">
      <c r="B174" s="81">
        <v>146</v>
      </c>
      <c r="C174" s="108"/>
      <c r="D174" s="116"/>
      <c r="E174" s="117"/>
      <c r="F174" s="117"/>
      <c r="G174" s="82">
        <f t="shared" si="8"/>
        <v>0</v>
      </c>
    </row>
    <row r="175" spans="2:7" ht="15" customHeight="1">
      <c r="B175" s="81">
        <v>147</v>
      </c>
      <c r="C175" s="108"/>
      <c r="D175" s="116"/>
      <c r="E175" s="117"/>
      <c r="F175" s="117"/>
      <c r="G175" s="82"/>
    </row>
    <row r="176" spans="2:7" ht="15" customHeight="1">
      <c r="B176" s="81">
        <v>148</v>
      </c>
      <c r="C176" s="108"/>
      <c r="D176" s="116"/>
      <c r="E176" s="117"/>
      <c r="F176" s="117"/>
      <c r="G176" s="82"/>
    </row>
    <row r="177" spans="2:7" ht="15" customHeight="1">
      <c r="B177" s="81">
        <v>149</v>
      </c>
      <c r="C177" s="108"/>
      <c r="D177" s="116"/>
      <c r="E177" s="117"/>
      <c r="F177" s="117"/>
      <c r="G177" s="82"/>
    </row>
    <row r="178" spans="2:7" ht="15" customHeight="1">
      <c r="B178" s="81">
        <v>150</v>
      </c>
      <c r="C178" s="108"/>
      <c r="D178" s="116"/>
      <c r="E178" s="117"/>
      <c r="F178" s="117"/>
      <c r="G178" s="82"/>
    </row>
    <row r="179" spans="2:7" ht="15" customHeight="1">
      <c r="B179" s="81">
        <v>151</v>
      </c>
      <c r="C179" s="108"/>
      <c r="D179" s="116"/>
      <c r="E179" s="117"/>
      <c r="F179" s="117"/>
      <c r="G179" s="82"/>
    </row>
    <row r="180" spans="2:7" ht="15" customHeight="1">
      <c r="B180" s="81">
        <v>152</v>
      </c>
      <c r="C180" s="108"/>
      <c r="D180" s="116"/>
      <c r="E180" s="117"/>
      <c r="F180" s="117"/>
      <c r="G180" s="82">
        <f t="shared" ref="G180:G188" si="9">E180+F180</f>
        <v>0</v>
      </c>
    </row>
    <row r="181" spans="2:7" ht="15" customHeight="1">
      <c r="B181" s="81">
        <v>153</v>
      </c>
      <c r="C181" s="108"/>
      <c r="D181" s="116"/>
      <c r="E181" s="117"/>
      <c r="F181" s="117"/>
      <c r="G181" s="82">
        <f t="shared" si="9"/>
        <v>0</v>
      </c>
    </row>
    <row r="182" spans="2:7" ht="15" customHeight="1">
      <c r="B182" s="81">
        <v>154</v>
      </c>
      <c r="C182" s="108"/>
      <c r="D182" s="116"/>
      <c r="E182" s="117"/>
      <c r="F182" s="117"/>
      <c r="G182" s="82">
        <f t="shared" si="9"/>
        <v>0</v>
      </c>
    </row>
    <row r="183" spans="2:7" ht="15" customHeight="1">
      <c r="B183" s="81">
        <v>155</v>
      </c>
      <c r="C183" s="108"/>
      <c r="D183" s="116"/>
      <c r="E183" s="117"/>
      <c r="F183" s="117"/>
      <c r="G183" s="82">
        <f t="shared" si="9"/>
        <v>0</v>
      </c>
    </row>
    <row r="184" spans="2:7" ht="15" customHeight="1">
      <c r="B184" s="81">
        <v>156</v>
      </c>
      <c r="C184" s="108"/>
      <c r="D184" s="116"/>
      <c r="E184" s="117"/>
      <c r="F184" s="117"/>
      <c r="G184" s="82">
        <f t="shared" si="9"/>
        <v>0</v>
      </c>
    </row>
    <row r="185" spans="2:7" ht="15" customHeight="1">
      <c r="B185" s="81">
        <v>157</v>
      </c>
      <c r="C185" s="108"/>
      <c r="D185" s="116"/>
      <c r="E185" s="117"/>
      <c r="F185" s="117"/>
      <c r="G185" s="82">
        <f t="shared" si="9"/>
        <v>0</v>
      </c>
    </row>
    <row r="186" spans="2:7" ht="15" customHeight="1">
      <c r="B186" s="81">
        <v>158</v>
      </c>
      <c r="C186" s="108"/>
      <c r="D186" s="116"/>
      <c r="E186" s="117"/>
      <c r="F186" s="117"/>
      <c r="G186" s="82">
        <f t="shared" si="9"/>
        <v>0</v>
      </c>
    </row>
    <row r="187" spans="2:7" ht="15" customHeight="1">
      <c r="B187" s="81">
        <v>159</v>
      </c>
      <c r="C187" s="108"/>
      <c r="D187" s="116"/>
      <c r="E187" s="117"/>
      <c r="F187" s="117"/>
      <c r="G187" s="82">
        <f t="shared" si="9"/>
        <v>0</v>
      </c>
    </row>
    <row r="188" spans="2:7" ht="15" customHeight="1">
      <c r="B188" s="81">
        <v>160</v>
      </c>
      <c r="C188" s="108"/>
      <c r="D188" s="116"/>
      <c r="E188" s="117"/>
      <c r="F188" s="117"/>
      <c r="G188" s="82">
        <f t="shared" si="9"/>
        <v>0</v>
      </c>
    </row>
    <row r="189" spans="2:7" ht="15" customHeight="1">
      <c r="B189" s="386" t="s">
        <v>11</v>
      </c>
      <c r="C189" s="386"/>
      <c r="D189" s="386"/>
      <c r="E189" s="33">
        <f>SUM(E149:E188)</f>
        <v>0</v>
      </c>
      <c r="F189" s="33">
        <f t="shared" ref="F189:G189" si="10">SUM(F149:F188)</f>
        <v>0</v>
      </c>
      <c r="G189" s="33">
        <f t="shared" si="10"/>
        <v>0</v>
      </c>
    </row>
  </sheetData>
  <sheetProtection password="CFDC" sheet="1" objects="1" scenarios="1"/>
  <mergeCells count="33">
    <mergeCell ref="B189:D189"/>
    <mergeCell ref="D144:F144"/>
    <mergeCell ref="F145:G145"/>
    <mergeCell ref="B147:B148"/>
    <mergeCell ref="C147:C148"/>
    <mergeCell ref="D147:D148"/>
    <mergeCell ref="E147:F147"/>
    <mergeCell ref="G147:G148"/>
    <mergeCell ref="B142:D142"/>
    <mergeCell ref="B95:D95"/>
    <mergeCell ref="D97:F97"/>
    <mergeCell ref="F98:G98"/>
    <mergeCell ref="B100:B101"/>
    <mergeCell ref="C100:C101"/>
    <mergeCell ref="D100:D101"/>
    <mergeCell ref="E100:F100"/>
    <mergeCell ref="G100:G101"/>
    <mergeCell ref="B47:D47"/>
    <mergeCell ref="D50:F50"/>
    <mergeCell ref="F51:G51"/>
    <mergeCell ref="B53:B54"/>
    <mergeCell ref="C53:C54"/>
    <mergeCell ref="D53:D54"/>
    <mergeCell ref="E53:F53"/>
    <mergeCell ref="G53:G54"/>
    <mergeCell ref="B48:D48"/>
    <mergeCell ref="D2:F2"/>
    <mergeCell ref="F3:G3"/>
    <mergeCell ref="B5:B6"/>
    <mergeCell ref="C5:C6"/>
    <mergeCell ref="D5:D6"/>
    <mergeCell ref="E5:F5"/>
    <mergeCell ref="G5:G6"/>
  </mergeCells>
  <phoneticPr fontId="1" type="noConversion"/>
  <pageMargins left="0.7" right="0.7" top="0.75" bottom="0.75" header="0.3" footer="0.3"/>
  <pageSetup paperSize="9" scale="93" orientation="portrait" r:id="rId1"/>
  <rowBreaks count="3" manualBreakCount="3">
    <brk id="48" max="16383" man="1"/>
    <brk id="95" max="6" man="1"/>
    <brk id="142" max="16383" man="1"/>
  </rowBreaks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B1:G189"/>
  <sheetViews>
    <sheetView showGridLines="0" view="pageBreakPreview" topLeftCell="A56" zoomScaleNormal="100" zoomScaleSheetLayoutView="100" workbookViewId="0">
      <selection activeCell="C149" sqref="C149:G188"/>
    </sheetView>
  </sheetViews>
  <sheetFormatPr defaultRowHeight="16.5"/>
  <cols>
    <col min="1" max="1" width="1" customWidth="1"/>
    <col min="2" max="2" width="4.5" customWidth="1"/>
    <col min="3" max="3" width="10.75" customWidth="1"/>
    <col min="4" max="4" width="12.875" style="100" customWidth="1"/>
    <col min="5" max="5" width="24.375" customWidth="1"/>
    <col min="6" max="6" width="13.125" customWidth="1"/>
    <col min="7" max="7" width="13.75" style="105" customWidth="1"/>
  </cols>
  <sheetData>
    <row r="1" spans="2:7" ht="8.4499999999999993" customHeight="1"/>
    <row r="2" spans="2:7" ht="26.25">
      <c r="C2" s="398" t="s">
        <v>197</v>
      </c>
      <c r="D2" s="399"/>
      <c r="E2" s="399"/>
      <c r="F2" s="399"/>
    </row>
    <row r="4" spans="2:7">
      <c r="F4" s="400" t="str">
        <f>'지우지마세요!'!C3&amp;"년 "&amp;'지우지마세요!'!E3&amp;"월 "&amp;'지우지마세요!'!G3&amp;"일"</f>
        <v>2017년 3월 5일</v>
      </c>
      <c r="G4" s="401"/>
    </row>
    <row r="6" spans="2:7" ht="15" customHeight="1">
      <c r="B6" s="1" t="s">
        <v>30</v>
      </c>
      <c r="C6" s="5" t="s">
        <v>31</v>
      </c>
      <c r="D6" s="33" t="s">
        <v>32</v>
      </c>
      <c r="E6" s="5" t="s">
        <v>33</v>
      </c>
      <c r="F6" s="5" t="s">
        <v>112</v>
      </c>
      <c r="G6" s="84" t="s">
        <v>198</v>
      </c>
    </row>
    <row r="7" spans="2:7" ht="15" customHeight="1">
      <c r="B7" s="10">
        <v>1</v>
      </c>
      <c r="C7" s="118"/>
      <c r="D7" s="119"/>
      <c r="E7" s="118"/>
      <c r="F7" s="118"/>
      <c r="G7" s="120"/>
    </row>
    <row r="8" spans="2:7" ht="15" customHeight="1">
      <c r="B8" s="10">
        <v>2</v>
      </c>
      <c r="C8" s="118"/>
      <c r="D8" s="119"/>
      <c r="E8" s="118"/>
      <c r="F8" s="118"/>
      <c r="G8" s="120"/>
    </row>
    <row r="9" spans="2:7" ht="15" customHeight="1">
      <c r="B9" s="10">
        <v>3</v>
      </c>
      <c r="C9" s="118"/>
      <c r="D9" s="119"/>
      <c r="E9" s="118"/>
      <c r="F9" s="118"/>
      <c r="G9" s="120"/>
    </row>
    <row r="10" spans="2:7" ht="15" customHeight="1">
      <c r="B10" s="10">
        <v>4</v>
      </c>
      <c r="C10" s="118"/>
      <c r="D10" s="119"/>
      <c r="E10" s="118"/>
      <c r="F10" s="118"/>
      <c r="G10" s="120"/>
    </row>
    <row r="11" spans="2:7" ht="15" customHeight="1">
      <c r="B11" s="10">
        <v>5</v>
      </c>
      <c r="C11" s="118"/>
      <c r="D11" s="119"/>
      <c r="E11" s="118"/>
      <c r="F11" s="118"/>
      <c r="G11" s="120"/>
    </row>
    <row r="12" spans="2:7" ht="15" customHeight="1">
      <c r="B12" s="10">
        <v>6</v>
      </c>
      <c r="C12" s="118"/>
      <c r="D12" s="119"/>
      <c r="E12" s="118"/>
      <c r="F12" s="118"/>
      <c r="G12" s="120"/>
    </row>
    <row r="13" spans="2:7" ht="15" customHeight="1">
      <c r="B13" s="10">
        <v>7</v>
      </c>
      <c r="C13" s="118"/>
      <c r="D13" s="119"/>
      <c r="E13" s="118"/>
      <c r="F13" s="118"/>
      <c r="G13" s="120"/>
    </row>
    <row r="14" spans="2:7" ht="15" customHeight="1">
      <c r="B14" s="10">
        <v>8</v>
      </c>
      <c r="C14" s="118"/>
      <c r="D14" s="119"/>
      <c r="E14" s="118"/>
      <c r="F14" s="118"/>
      <c r="G14" s="120"/>
    </row>
    <row r="15" spans="2:7" ht="15" customHeight="1">
      <c r="B15" s="10">
        <v>9</v>
      </c>
      <c r="C15" s="118"/>
      <c r="D15" s="119"/>
      <c r="E15" s="118"/>
      <c r="F15" s="118"/>
      <c r="G15" s="120"/>
    </row>
    <row r="16" spans="2:7" ht="15" customHeight="1">
      <c r="B16" s="10">
        <v>10</v>
      </c>
      <c r="C16" s="118"/>
      <c r="D16" s="119"/>
      <c r="E16" s="118"/>
      <c r="F16" s="118"/>
      <c r="G16" s="120"/>
    </row>
    <row r="17" spans="2:7" ht="15" customHeight="1">
      <c r="B17" s="10">
        <v>11</v>
      </c>
      <c r="C17" s="118"/>
      <c r="D17" s="119"/>
      <c r="E17" s="118"/>
      <c r="F17" s="118"/>
      <c r="G17" s="120"/>
    </row>
    <row r="18" spans="2:7" ht="15" customHeight="1">
      <c r="B18" s="10">
        <v>12</v>
      </c>
      <c r="C18" s="118"/>
      <c r="D18" s="119"/>
      <c r="E18" s="118"/>
      <c r="F18" s="118"/>
      <c r="G18" s="120"/>
    </row>
    <row r="19" spans="2:7" ht="15" customHeight="1">
      <c r="B19" s="10">
        <v>13</v>
      </c>
      <c r="C19" s="118"/>
      <c r="D19" s="119"/>
      <c r="E19" s="118"/>
      <c r="F19" s="118"/>
      <c r="G19" s="120"/>
    </row>
    <row r="20" spans="2:7" ht="15" customHeight="1">
      <c r="B20" s="10">
        <v>14</v>
      </c>
      <c r="C20" s="118"/>
      <c r="D20" s="119"/>
      <c r="E20" s="118"/>
      <c r="F20" s="118"/>
      <c r="G20" s="120"/>
    </row>
    <row r="21" spans="2:7" ht="15" customHeight="1">
      <c r="B21" s="10">
        <v>15</v>
      </c>
      <c r="C21" s="118"/>
      <c r="D21" s="119"/>
      <c r="E21" s="118"/>
      <c r="F21" s="118"/>
      <c r="G21" s="120"/>
    </row>
    <row r="22" spans="2:7" ht="15" customHeight="1">
      <c r="B22" s="10">
        <v>16</v>
      </c>
      <c r="C22" s="118"/>
      <c r="D22" s="119"/>
      <c r="E22" s="118"/>
      <c r="F22" s="118"/>
      <c r="G22" s="120"/>
    </row>
    <row r="23" spans="2:7" ht="15" customHeight="1">
      <c r="B23" s="10">
        <v>17</v>
      </c>
      <c r="C23" s="118"/>
      <c r="D23" s="119"/>
      <c r="E23" s="118"/>
      <c r="F23" s="118"/>
      <c r="G23" s="120"/>
    </row>
    <row r="24" spans="2:7" ht="15" customHeight="1">
      <c r="B24" s="10">
        <v>18</v>
      </c>
      <c r="C24" s="118"/>
      <c r="D24" s="119"/>
      <c r="E24" s="118"/>
      <c r="F24" s="118"/>
      <c r="G24" s="120"/>
    </row>
    <row r="25" spans="2:7" ht="15" customHeight="1">
      <c r="B25" s="10">
        <v>19</v>
      </c>
      <c r="C25" s="118"/>
      <c r="D25" s="119"/>
      <c r="E25" s="118"/>
      <c r="F25" s="118"/>
      <c r="G25" s="120"/>
    </row>
    <row r="26" spans="2:7" ht="15" customHeight="1">
      <c r="B26" s="10">
        <v>20</v>
      </c>
      <c r="C26" s="118"/>
      <c r="D26" s="119"/>
      <c r="E26" s="118"/>
      <c r="F26" s="118"/>
      <c r="G26" s="120"/>
    </row>
    <row r="27" spans="2:7" ht="15" customHeight="1">
      <c r="B27" s="10">
        <v>21</v>
      </c>
      <c r="C27" s="118"/>
      <c r="D27" s="119"/>
      <c r="E27" s="118"/>
      <c r="F27" s="118"/>
      <c r="G27" s="120"/>
    </row>
    <row r="28" spans="2:7" ht="15" customHeight="1">
      <c r="B28" s="10">
        <v>22</v>
      </c>
      <c r="C28" s="118"/>
      <c r="D28" s="119"/>
      <c r="E28" s="118"/>
      <c r="F28" s="118"/>
      <c r="G28" s="120"/>
    </row>
    <row r="29" spans="2:7" ht="15" customHeight="1">
      <c r="B29" s="10">
        <v>23</v>
      </c>
      <c r="C29" s="118"/>
      <c r="D29" s="119"/>
      <c r="E29" s="118"/>
      <c r="F29" s="118"/>
      <c r="G29" s="120"/>
    </row>
    <row r="30" spans="2:7" ht="15" customHeight="1">
      <c r="B30" s="10">
        <v>24</v>
      </c>
      <c r="C30" s="118"/>
      <c r="D30" s="119"/>
      <c r="E30" s="118"/>
      <c r="F30" s="118"/>
      <c r="G30" s="120"/>
    </row>
    <row r="31" spans="2:7" ht="15" customHeight="1">
      <c r="B31" s="10">
        <v>25</v>
      </c>
      <c r="C31" s="118"/>
      <c r="D31" s="119"/>
      <c r="E31" s="118"/>
      <c r="F31" s="118"/>
      <c r="G31" s="120"/>
    </row>
    <row r="32" spans="2:7" ht="15" customHeight="1">
      <c r="B32" s="10">
        <v>26</v>
      </c>
      <c r="C32" s="118"/>
      <c r="D32" s="119"/>
      <c r="E32" s="118"/>
      <c r="F32" s="118"/>
      <c r="G32" s="120"/>
    </row>
    <row r="33" spans="2:7" ht="15" customHeight="1">
      <c r="B33" s="10">
        <v>27</v>
      </c>
      <c r="C33" s="118"/>
      <c r="D33" s="119"/>
      <c r="E33" s="118"/>
      <c r="F33" s="118"/>
      <c r="G33" s="120"/>
    </row>
    <row r="34" spans="2:7" ht="15" customHeight="1">
      <c r="B34" s="10">
        <v>28</v>
      </c>
      <c r="C34" s="118"/>
      <c r="D34" s="119"/>
      <c r="E34" s="118"/>
      <c r="F34" s="118"/>
      <c r="G34" s="120"/>
    </row>
    <row r="35" spans="2:7" ht="15" customHeight="1">
      <c r="B35" s="10">
        <v>29</v>
      </c>
      <c r="C35" s="118"/>
      <c r="D35" s="119"/>
      <c r="E35" s="118"/>
      <c r="F35" s="118"/>
      <c r="G35" s="120"/>
    </row>
    <row r="36" spans="2:7" ht="15" customHeight="1">
      <c r="B36" s="10">
        <v>30</v>
      </c>
      <c r="C36" s="118"/>
      <c r="D36" s="119"/>
      <c r="E36" s="118"/>
      <c r="F36" s="118"/>
      <c r="G36" s="120"/>
    </row>
    <row r="37" spans="2:7" ht="15" customHeight="1">
      <c r="B37" s="10">
        <v>31</v>
      </c>
      <c r="C37" s="118"/>
      <c r="D37" s="119"/>
      <c r="E37" s="118"/>
      <c r="F37" s="118"/>
      <c r="G37" s="120"/>
    </row>
    <row r="38" spans="2:7" ht="15" customHeight="1">
      <c r="B38" s="10">
        <v>32</v>
      </c>
      <c r="C38" s="118"/>
      <c r="D38" s="119"/>
      <c r="E38" s="118"/>
      <c r="F38" s="118"/>
      <c r="G38" s="120"/>
    </row>
    <row r="39" spans="2:7" ht="15" customHeight="1">
      <c r="B39" s="10">
        <v>33</v>
      </c>
      <c r="C39" s="118"/>
      <c r="D39" s="119"/>
      <c r="E39" s="118"/>
      <c r="F39" s="118"/>
      <c r="G39" s="120"/>
    </row>
    <row r="40" spans="2:7" ht="15" customHeight="1">
      <c r="B40" s="10">
        <v>34</v>
      </c>
      <c r="C40" s="118"/>
      <c r="D40" s="119"/>
      <c r="E40" s="118"/>
      <c r="F40" s="118"/>
      <c r="G40" s="120"/>
    </row>
    <row r="41" spans="2:7" ht="15" customHeight="1">
      <c r="B41" s="10">
        <v>35</v>
      </c>
      <c r="C41" s="118"/>
      <c r="D41" s="119"/>
      <c r="E41" s="118"/>
      <c r="F41" s="118"/>
      <c r="G41" s="120"/>
    </row>
    <row r="42" spans="2:7" ht="15" customHeight="1">
      <c r="B42" s="10">
        <v>36</v>
      </c>
      <c r="C42" s="118"/>
      <c r="D42" s="119"/>
      <c r="E42" s="118"/>
      <c r="F42" s="118"/>
      <c r="G42" s="120"/>
    </row>
    <row r="43" spans="2:7" ht="15" customHeight="1">
      <c r="B43" s="10">
        <v>37</v>
      </c>
      <c r="C43" s="118"/>
      <c r="D43" s="119"/>
      <c r="E43" s="118"/>
      <c r="F43" s="118"/>
      <c r="G43" s="120"/>
    </row>
    <row r="44" spans="2:7" ht="15" customHeight="1">
      <c r="B44" s="10">
        <v>38</v>
      </c>
      <c r="C44" s="118"/>
      <c r="D44" s="119"/>
      <c r="E44" s="118"/>
      <c r="F44" s="118"/>
      <c r="G44" s="120"/>
    </row>
    <row r="45" spans="2:7" ht="15" customHeight="1">
      <c r="B45" s="10">
        <v>39</v>
      </c>
      <c r="C45" s="118"/>
      <c r="D45" s="119"/>
      <c r="E45" s="118"/>
      <c r="F45" s="118"/>
      <c r="G45" s="120"/>
    </row>
    <row r="46" spans="2:7" ht="15" customHeight="1">
      <c r="B46" s="10">
        <v>40</v>
      </c>
      <c r="C46" s="118"/>
      <c r="D46" s="119"/>
      <c r="E46" s="118"/>
      <c r="F46" s="118"/>
      <c r="G46" s="120"/>
    </row>
    <row r="47" spans="2:7" ht="15" customHeight="1">
      <c r="B47" s="227" t="s">
        <v>11</v>
      </c>
      <c r="C47" s="227"/>
      <c r="D47" s="33">
        <f>SUM(D7:D46)</f>
        <v>0</v>
      </c>
      <c r="E47" s="102"/>
      <c r="F47" s="10"/>
      <c r="G47" s="83"/>
    </row>
    <row r="48" spans="2:7" ht="15" customHeight="1">
      <c r="B48" s="227" t="s">
        <v>15</v>
      </c>
      <c r="C48" s="227"/>
      <c r="D48" s="33">
        <f>D47+D95+D142+D189</f>
        <v>0</v>
      </c>
      <c r="E48" s="102"/>
      <c r="F48" s="81"/>
      <c r="G48" s="83"/>
    </row>
    <row r="49" spans="2:7" ht="15.75" customHeight="1">
      <c r="B49" s="99"/>
      <c r="C49" s="99"/>
      <c r="D49" s="101"/>
      <c r="E49" s="103"/>
      <c r="F49" s="99"/>
      <c r="G49" s="106"/>
    </row>
    <row r="50" spans="2:7" ht="15.75" customHeight="1">
      <c r="C50" s="398" t="s">
        <v>196</v>
      </c>
      <c r="D50" s="399"/>
      <c r="E50" s="402"/>
      <c r="F50" s="399"/>
    </row>
    <row r="51" spans="2:7" ht="15.75" customHeight="1">
      <c r="E51" s="104"/>
    </row>
    <row r="52" spans="2:7" ht="15.75" customHeight="1">
      <c r="E52" s="104"/>
      <c r="F52" s="400" t="str">
        <f>'지우지마세요!'!C3&amp;"년 "&amp;'지우지마세요!'!E3&amp;"월 "&amp;'지우지마세요!'!G3&amp;"일"</f>
        <v>2017년 3월 5일</v>
      </c>
      <c r="G52" s="401"/>
    </row>
    <row r="53" spans="2:7" ht="15.75" customHeight="1">
      <c r="E53" s="104"/>
    </row>
    <row r="54" spans="2:7" ht="15.75" customHeight="1">
      <c r="B54" s="1" t="s">
        <v>30</v>
      </c>
      <c r="C54" s="5" t="s">
        <v>31</v>
      </c>
      <c r="D54" s="33" t="s">
        <v>32</v>
      </c>
      <c r="E54" s="102" t="s">
        <v>33</v>
      </c>
      <c r="F54" s="5" t="s">
        <v>112</v>
      </c>
      <c r="G54" s="83" t="s">
        <v>198</v>
      </c>
    </row>
    <row r="55" spans="2:7" ht="15" customHeight="1">
      <c r="B55" s="10">
        <v>41</v>
      </c>
      <c r="C55" s="118"/>
      <c r="D55" s="119"/>
      <c r="E55" s="118"/>
      <c r="F55" s="118"/>
      <c r="G55" s="120"/>
    </row>
    <row r="56" spans="2:7" ht="15" customHeight="1">
      <c r="B56" s="10">
        <v>42</v>
      </c>
      <c r="C56" s="118"/>
      <c r="D56" s="119"/>
      <c r="E56" s="118"/>
      <c r="F56" s="118"/>
      <c r="G56" s="120"/>
    </row>
    <row r="57" spans="2:7" ht="15" customHeight="1">
      <c r="B57" s="10">
        <v>43</v>
      </c>
      <c r="C57" s="118"/>
      <c r="D57" s="119"/>
      <c r="E57" s="118"/>
      <c r="F57" s="118"/>
      <c r="G57" s="120"/>
    </row>
    <row r="58" spans="2:7" ht="15" customHeight="1">
      <c r="B58" s="10">
        <v>44</v>
      </c>
      <c r="C58" s="118"/>
      <c r="D58" s="119"/>
      <c r="E58" s="118"/>
      <c r="F58" s="118"/>
      <c r="G58" s="120"/>
    </row>
    <row r="59" spans="2:7" ht="15" customHeight="1">
      <c r="B59" s="10">
        <v>45</v>
      </c>
      <c r="C59" s="118"/>
      <c r="D59" s="119"/>
      <c r="E59" s="118"/>
      <c r="F59" s="118"/>
      <c r="G59" s="120"/>
    </row>
    <row r="60" spans="2:7" ht="15" customHeight="1">
      <c r="B60" s="10">
        <v>46</v>
      </c>
      <c r="C60" s="118"/>
      <c r="D60" s="119"/>
      <c r="E60" s="118"/>
      <c r="F60" s="118"/>
      <c r="G60" s="120"/>
    </row>
    <row r="61" spans="2:7" ht="15" customHeight="1">
      <c r="B61" s="10">
        <v>47</v>
      </c>
      <c r="C61" s="118"/>
      <c r="D61" s="119"/>
      <c r="E61" s="118"/>
      <c r="F61" s="118"/>
      <c r="G61" s="120"/>
    </row>
    <row r="62" spans="2:7" ht="15" customHeight="1">
      <c r="B62" s="10">
        <v>48</v>
      </c>
      <c r="C62" s="118"/>
      <c r="D62" s="119"/>
      <c r="E62" s="118"/>
      <c r="F62" s="118"/>
      <c r="G62" s="120"/>
    </row>
    <row r="63" spans="2:7" ht="15" customHeight="1">
      <c r="B63" s="10">
        <v>49</v>
      </c>
      <c r="C63" s="118"/>
      <c r="D63" s="119"/>
      <c r="E63" s="118"/>
      <c r="F63" s="118"/>
      <c r="G63" s="120"/>
    </row>
    <row r="64" spans="2:7" ht="15" customHeight="1">
      <c r="B64" s="10">
        <v>50</v>
      </c>
      <c r="C64" s="118"/>
      <c r="D64" s="119"/>
      <c r="E64" s="118"/>
      <c r="F64" s="118"/>
      <c r="G64" s="120"/>
    </row>
    <row r="65" spans="2:7" ht="15" customHeight="1">
      <c r="B65" s="10">
        <v>51</v>
      </c>
      <c r="C65" s="118"/>
      <c r="D65" s="119"/>
      <c r="E65" s="118"/>
      <c r="F65" s="118"/>
      <c r="G65" s="120"/>
    </row>
    <row r="66" spans="2:7" ht="15" customHeight="1">
      <c r="B66" s="10">
        <v>52</v>
      </c>
      <c r="C66" s="118"/>
      <c r="D66" s="119"/>
      <c r="E66" s="118"/>
      <c r="F66" s="118"/>
      <c r="G66" s="120"/>
    </row>
    <row r="67" spans="2:7" ht="15" customHeight="1">
      <c r="B67" s="10">
        <v>53</v>
      </c>
      <c r="C67" s="118"/>
      <c r="D67" s="119"/>
      <c r="E67" s="118"/>
      <c r="F67" s="118"/>
      <c r="G67" s="120"/>
    </row>
    <row r="68" spans="2:7" ht="15" customHeight="1">
      <c r="B68" s="10">
        <v>54</v>
      </c>
      <c r="C68" s="118"/>
      <c r="D68" s="119"/>
      <c r="E68" s="118"/>
      <c r="F68" s="118"/>
      <c r="G68" s="120"/>
    </row>
    <row r="69" spans="2:7" ht="15" customHeight="1">
      <c r="B69" s="10">
        <v>55</v>
      </c>
      <c r="C69" s="118"/>
      <c r="D69" s="119"/>
      <c r="E69" s="118"/>
      <c r="F69" s="118"/>
      <c r="G69" s="120"/>
    </row>
    <row r="70" spans="2:7" ht="15" customHeight="1">
      <c r="B70" s="10">
        <v>56</v>
      </c>
      <c r="C70" s="118"/>
      <c r="D70" s="119"/>
      <c r="E70" s="118"/>
      <c r="F70" s="118"/>
      <c r="G70" s="120"/>
    </row>
    <row r="71" spans="2:7" ht="15" customHeight="1">
      <c r="B71" s="10">
        <v>57</v>
      </c>
      <c r="C71" s="118"/>
      <c r="D71" s="119"/>
      <c r="E71" s="118"/>
      <c r="F71" s="118"/>
      <c r="G71" s="120"/>
    </row>
    <row r="72" spans="2:7" ht="15" customHeight="1">
      <c r="B72" s="10">
        <v>58</v>
      </c>
      <c r="C72" s="118"/>
      <c r="D72" s="119"/>
      <c r="E72" s="118"/>
      <c r="F72" s="118"/>
      <c r="G72" s="120"/>
    </row>
    <row r="73" spans="2:7" ht="15" customHeight="1">
      <c r="B73" s="10">
        <v>59</v>
      </c>
      <c r="C73" s="118"/>
      <c r="D73" s="119"/>
      <c r="E73" s="118"/>
      <c r="F73" s="118"/>
      <c r="G73" s="120"/>
    </row>
    <row r="74" spans="2:7" ht="15" customHeight="1">
      <c r="B74" s="10">
        <v>60</v>
      </c>
      <c r="C74" s="118"/>
      <c r="D74" s="119"/>
      <c r="E74" s="118"/>
      <c r="F74" s="118"/>
      <c r="G74" s="120"/>
    </row>
    <row r="75" spans="2:7" ht="15" customHeight="1">
      <c r="B75" s="10">
        <v>61</v>
      </c>
      <c r="C75" s="118"/>
      <c r="D75" s="119"/>
      <c r="E75" s="118"/>
      <c r="F75" s="118"/>
      <c r="G75" s="120"/>
    </row>
    <row r="76" spans="2:7" ht="15" customHeight="1">
      <c r="B76" s="10">
        <v>62</v>
      </c>
      <c r="C76" s="118"/>
      <c r="D76" s="119"/>
      <c r="E76" s="118"/>
      <c r="F76" s="118"/>
      <c r="G76" s="120"/>
    </row>
    <row r="77" spans="2:7" ht="15" customHeight="1">
      <c r="B77" s="10">
        <v>63</v>
      </c>
      <c r="C77" s="118"/>
      <c r="D77" s="119"/>
      <c r="E77" s="118"/>
      <c r="F77" s="118"/>
      <c r="G77" s="120"/>
    </row>
    <row r="78" spans="2:7" ht="15" customHeight="1">
      <c r="B78" s="10">
        <v>64</v>
      </c>
      <c r="C78" s="118"/>
      <c r="D78" s="119"/>
      <c r="E78" s="118"/>
      <c r="F78" s="118"/>
      <c r="G78" s="120"/>
    </row>
    <row r="79" spans="2:7" ht="15" customHeight="1">
      <c r="B79" s="10">
        <v>65</v>
      </c>
      <c r="C79" s="118"/>
      <c r="D79" s="119"/>
      <c r="E79" s="118"/>
      <c r="F79" s="118"/>
      <c r="G79" s="120"/>
    </row>
    <row r="80" spans="2:7" ht="15" customHeight="1">
      <c r="B80" s="10">
        <v>66</v>
      </c>
      <c r="C80" s="118"/>
      <c r="D80" s="119"/>
      <c r="E80" s="118"/>
      <c r="F80" s="118"/>
      <c r="G80" s="120"/>
    </row>
    <row r="81" spans="2:7" ht="15" customHeight="1">
      <c r="B81" s="10">
        <v>67</v>
      </c>
      <c r="C81" s="118"/>
      <c r="D81" s="119"/>
      <c r="E81" s="118"/>
      <c r="F81" s="118"/>
      <c r="G81" s="120"/>
    </row>
    <row r="82" spans="2:7" ht="15" customHeight="1">
      <c r="B82" s="10">
        <v>68</v>
      </c>
      <c r="C82" s="118"/>
      <c r="D82" s="119"/>
      <c r="E82" s="118"/>
      <c r="F82" s="118"/>
      <c r="G82" s="120"/>
    </row>
    <row r="83" spans="2:7" ht="15" customHeight="1">
      <c r="B83" s="10">
        <v>69</v>
      </c>
      <c r="C83" s="118"/>
      <c r="D83" s="119"/>
      <c r="E83" s="118"/>
      <c r="F83" s="118"/>
      <c r="G83" s="120"/>
    </row>
    <row r="84" spans="2:7" ht="15" customHeight="1">
      <c r="B84" s="10">
        <v>70</v>
      </c>
      <c r="C84" s="118"/>
      <c r="D84" s="119"/>
      <c r="E84" s="118"/>
      <c r="F84" s="118"/>
      <c r="G84" s="120"/>
    </row>
    <row r="85" spans="2:7" ht="15" customHeight="1">
      <c r="B85" s="10">
        <v>71</v>
      </c>
      <c r="C85" s="118"/>
      <c r="D85" s="119"/>
      <c r="E85" s="118"/>
      <c r="F85" s="118"/>
      <c r="G85" s="120"/>
    </row>
    <row r="86" spans="2:7" ht="15" customHeight="1">
      <c r="B86" s="10">
        <v>72</v>
      </c>
      <c r="C86" s="118"/>
      <c r="D86" s="119"/>
      <c r="E86" s="118"/>
      <c r="F86" s="118"/>
      <c r="G86" s="120"/>
    </row>
    <row r="87" spans="2:7" ht="15" customHeight="1">
      <c r="B87" s="10">
        <v>73</v>
      </c>
      <c r="C87" s="118"/>
      <c r="D87" s="119"/>
      <c r="E87" s="118"/>
      <c r="F87" s="118"/>
      <c r="G87" s="120"/>
    </row>
    <row r="88" spans="2:7" ht="15" customHeight="1">
      <c r="B88" s="10">
        <v>74</v>
      </c>
      <c r="C88" s="118"/>
      <c r="D88" s="119"/>
      <c r="E88" s="118"/>
      <c r="F88" s="118"/>
      <c r="G88" s="120"/>
    </row>
    <row r="89" spans="2:7" ht="15" customHeight="1">
      <c r="B89" s="10">
        <v>75</v>
      </c>
      <c r="C89" s="118"/>
      <c r="D89" s="119"/>
      <c r="E89" s="118"/>
      <c r="F89" s="118"/>
      <c r="G89" s="120"/>
    </row>
    <row r="90" spans="2:7" ht="15" customHeight="1">
      <c r="B90" s="10">
        <v>76</v>
      </c>
      <c r="C90" s="118"/>
      <c r="D90" s="119"/>
      <c r="E90" s="118"/>
      <c r="F90" s="118"/>
      <c r="G90" s="120"/>
    </row>
    <row r="91" spans="2:7" ht="15" customHeight="1">
      <c r="B91" s="10">
        <v>77</v>
      </c>
      <c r="C91" s="118"/>
      <c r="D91" s="119"/>
      <c r="E91" s="118"/>
      <c r="F91" s="118"/>
      <c r="G91" s="120"/>
    </row>
    <row r="92" spans="2:7" ht="15" customHeight="1">
      <c r="B92" s="10">
        <v>78</v>
      </c>
      <c r="C92" s="118"/>
      <c r="D92" s="119"/>
      <c r="E92" s="118"/>
      <c r="F92" s="118"/>
      <c r="G92" s="120"/>
    </row>
    <row r="93" spans="2:7" ht="15" customHeight="1">
      <c r="B93" s="10">
        <v>79</v>
      </c>
      <c r="C93" s="118"/>
      <c r="D93" s="119"/>
      <c r="E93" s="118"/>
      <c r="F93" s="118"/>
      <c r="G93" s="120"/>
    </row>
    <row r="94" spans="2:7" ht="15" customHeight="1">
      <c r="B94" s="10">
        <v>80</v>
      </c>
      <c r="C94" s="118"/>
      <c r="D94" s="119"/>
      <c r="E94" s="118"/>
      <c r="F94" s="118"/>
      <c r="G94" s="120"/>
    </row>
    <row r="95" spans="2:7" ht="15" customHeight="1">
      <c r="B95" s="227" t="s">
        <v>11</v>
      </c>
      <c r="C95" s="227"/>
      <c r="D95" s="33">
        <f>SUM(D55:D94)</f>
        <v>0</v>
      </c>
      <c r="E95" s="102"/>
      <c r="F95" s="10"/>
      <c r="G95" s="83"/>
    </row>
    <row r="96" spans="2:7" ht="15.75" customHeight="1">
      <c r="E96" s="104"/>
    </row>
    <row r="97" spans="2:7" ht="15.75" customHeight="1">
      <c r="C97" s="398" t="s">
        <v>195</v>
      </c>
      <c r="D97" s="399"/>
      <c r="E97" s="402"/>
      <c r="F97" s="399"/>
    </row>
    <row r="98" spans="2:7" ht="15.75" customHeight="1">
      <c r="E98" s="104"/>
    </row>
    <row r="99" spans="2:7" ht="15.75" customHeight="1">
      <c r="E99" s="104"/>
      <c r="F99" s="400" t="str">
        <f>'지우지마세요!'!C3&amp;"년 "&amp;'지우지마세요!'!E3&amp;"월 "&amp;'지우지마세요!'!G3&amp;"일"</f>
        <v>2017년 3월 5일</v>
      </c>
      <c r="G99" s="401"/>
    </row>
    <row r="100" spans="2:7" ht="15.75" customHeight="1">
      <c r="E100" s="104"/>
    </row>
    <row r="101" spans="2:7" ht="15.75" customHeight="1">
      <c r="B101" s="1" t="s">
        <v>30</v>
      </c>
      <c r="C101" s="5" t="s">
        <v>31</v>
      </c>
      <c r="D101" s="33" t="s">
        <v>32</v>
      </c>
      <c r="E101" s="102" t="s">
        <v>33</v>
      </c>
      <c r="F101" s="5" t="s">
        <v>112</v>
      </c>
      <c r="G101" s="83" t="s">
        <v>198</v>
      </c>
    </row>
    <row r="102" spans="2:7" ht="15" customHeight="1">
      <c r="B102" s="10">
        <v>81</v>
      </c>
      <c r="C102" s="118"/>
      <c r="D102" s="119"/>
      <c r="E102" s="118"/>
      <c r="F102" s="118"/>
      <c r="G102" s="120"/>
    </row>
    <row r="103" spans="2:7" ht="15" customHeight="1">
      <c r="B103" s="10">
        <v>82</v>
      </c>
      <c r="C103" s="118"/>
      <c r="D103" s="119"/>
      <c r="E103" s="118"/>
      <c r="F103" s="118"/>
      <c r="G103" s="120"/>
    </row>
    <row r="104" spans="2:7" ht="15" customHeight="1">
      <c r="B104" s="10">
        <v>83</v>
      </c>
      <c r="C104" s="118"/>
      <c r="D104" s="119"/>
      <c r="E104" s="118"/>
      <c r="F104" s="118"/>
      <c r="G104" s="120"/>
    </row>
    <row r="105" spans="2:7" ht="15" customHeight="1">
      <c r="B105" s="10">
        <v>84</v>
      </c>
      <c r="C105" s="118"/>
      <c r="D105" s="119"/>
      <c r="E105" s="118"/>
      <c r="F105" s="118"/>
      <c r="G105" s="120"/>
    </row>
    <row r="106" spans="2:7" ht="15" customHeight="1">
      <c r="B106" s="10">
        <v>85</v>
      </c>
      <c r="C106" s="118"/>
      <c r="D106" s="119"/>
      <c r="E106" s="118"/>
      <c r="F106" s="118"/>
      <c r="G106" s="120"/>
    </row>
    <row r="107" spans="2:7" ht="15" customHeight="1">
      <c r="B107" s="10">
        <v>86</v>
      </c>
      <c r="C107" s="118"/>
      <c r="D107" s="119"/>
      <c r="E107" s="118"/>
      <c r="F107" s="118"/>
      <c r="G107" s="120"/>
    </row>
    <row r="108" spans="2:7" ht="15" customHeight="1">
      <c r="B108" s="10">
        <v>87</v>
      </c>
      <c r="C108" s="118"/>
      <c r="D108" s="119"/>
      <c r="E108" s="118"/>
      <c r="F108" s="118"/>
      <c r="G108" s="120"/>
    </row>
    <row r="109" spans="2:7" ht="15" customHeight="1">
      <c r="B109" s="10">
        <v>88</v>
      </c>
      <c r="C109" s="118"/>
      <c r="D109" s="119"/>
      <c r="E109" s="118"/>
      <c r="F109" s="118"/>
      <c r="G109" s="120"/>
    </row>
    <row r="110" spans="2:7" ht="15" customHeight="1">
      <c r="B110" s="10">
        <v>89</v>
      </c>
      <c r="C110" s="118"/>
      <c r="D110" s="119"/>
      <c r="E110" s="118"/>
      <c r="F110" s="118"/>
      <c r="G110" s="120"/>
    </row>
    <row r="111" spans="2:7" ht="15" customHeight="1">
      <c r="B111" s="10">
        <v>90</v>
      </c>
      <c r="C111" s="118"/>
      <c r="D111" s="119"/>
      <c r="E111" s="118"/>
      <c r="F111" s="118"/>
      <c r="G111" s="120"/>
    </row>
    <row r="112" spans="2:7" ht="15" customHeight="1">
      <c r="B112" s="10">
        <v>91</v>
      </c>
      <c r="C112" s="118"/>
      <c r="D112" s="119"/>
      <c r="E112" s="118"/>
      <c r="F112" s="118"/>
      <c r="G112" s="120"/>
    </row>
    <row r="113" spans="2:7" ht="15" customHeight="1">
      <c r="B113" s="10">
        <v>92</v>
      </c>
      <c r="C113" s="118"/>
      <c r="D113" s="119"/>
      <c r="E113" s="118"/>
      <c r="F113" s="118"/>
      <c r="G113" s="120"/>
    </row>
    <row r="114" spans="2:7" ht="15" customHeight="1">
      <c r="B114" s="10">
        <v>93</v>
      </c>
      <c r="C114" s="118"/>
      <c r="D114" s="119"/>
      <c r="E114" s="118"/>
      <c r="F114" s="118"/>
      <c r="G114" s="120"/>
    </row>
    <row r="115" spans="2:7" ht="15" customHeight="1">
      <c r="B115" s="10">
        <v>94</v>
      </c>
      <c r="C115" s="118"/>
      <c r="D115" s="119"/>
      <c r="E115" s="118"/>
      <c r="F115" s="118"/>
      <c r="G115" s="120"/>
    </row>
    <row r="116" spans="2:7" ht="15" customHeight="1">
      <c r="B116" s="10">
        <v>95</v>
      </c>
      <c r="C116" s="118"/>
      <c r="D116" s="119"/>
      <c r="E116" s="118"/>
      <c r="F116" s="118"/>
      <c r="G116" s="120"/>
    </row>
    <row r="117" spans="2:7" ht="15" customHeight="1">
      <c r="B117" s="10">
        <v>96</v>
      </c>
      <c r="C117" s="118"/>
      <c r="D117" s="119"/>
      <c r="E117" s="118"/>
      <c r="F117" s="118"/>
      <c r="G117" s="120"/>
    </row>
    <row r="118" spans="2:7" ht="15" customHeight="1">
      <c r="B118" s="10">
        <v>97</v>
      </c>
      <c r="C118" s="118"/>
      <c r="D118" s="119"/>
      <c r="E118" s="118"/>
      <c r="F118" s="118"/>
      <c r="G118" s="120"/>
    </row>
    <row r="119" spans="2:7" ht="15" customHeight="1">
      <c r="B119" s="10">
        <v>98</v>
      </c>
      <c r="C119" s="118"/>
      <c r="D119" s="119"/>
      <c r="E119" s="118"/>
      <c r="F119" s="118"/>
      <c r="G119" s="120"/>
    </row>
    <row r="120" spans="2:7" ht="15" customHeight="1">
      <c r="B120" s="10">
        <v>99</v>
      </c>
      <c r="C120" s="118"/>
      <c r="D120" s="119"/>
      <c r="E120" s="118"/>
      <c r="F120" s="118"/>
      <c r="G120" s="120"/>
    </row>
    <row r="121" spans="2:7" ht="15" customHeight="1">
      <c r="B121" s="10">
        <v>100</v>
      </c>
      <c r="C121" s="118"/>
      <c r="D121" s="119"/>
      <c r="E121" s="118"/>
      <c r="F121" s="118"/>
      <c r="G121" s="120"/>
    </row>
    <row r="122" spans="2:7" ht="15" customHeight="1">
      <c r="B122" s="10">
        <v>101</v>
      </c>
      <c r="C122" s="118"/>
      <c r="D122" s="119"/>
      <c r="E122" s="118"/>
      <c r="F122" s="118"/>
      <c r="G122" s="120"/>
    </row>
    <row r="123" spans="2:7" ht="15" customHeight="1">
      <c r="B123" s="10">
        <v>102</v>
      </c>
      <c r="C123" s="118"/>
      <c r="D123" s="119"/>
      <c r="E123" s="118"/>
      <c r="F123" s="118"/>
      <c r="G123" s="120"/>
    </row>
    <row r="124" spans="2:7" ht="15" customHeight="1">
      <c r="B124" s="10">
        <v>103</v>
      </c>
      <c r="C124" s="118"/>
      <c r="D124" s="119"/>
      <c r="E124" s="118"/>
      <c r="F124" s="118"/>
      <c r="G124" s="120"/>
    </row>
    <row r="125" spans="2:7" ht="15" customHeight="1">
      <c r="B125" s="10">
        <v>104</v>
      </c>
      <c r="C125" s="118"/>
      <c r="D125" s="119"/>
      <c r="E125" s="118"/>
      <c r="F125" s="118"/>
      <c r="G125" s="120"/>
    </row>
    <row r="126" spans="2:7" ht="15" customHeight="1">
      <c r="B126" s="10">
        <v>105</v>
      </c>
      <c r="C126" s="118"/>
      <c r="D126" s="119"/>
      <c r="E126" s="118"/>
      <c r="F126" s="118"/>
      <c r="G126" s="120"/>
    </row>
    <row r="127" spans="2:7" ht="15" customHeight="1">
      <c r="B127" s="10">
        <v>106</v>
      </c>
      <c r="C127" s="118"/>
      <c r="D127" s="119"/>
      <c r="E127" s="118"/>
      <c r="F127" s="118"/>
      <c r="G127" s="120"/>
    </row>
    <row r="128" spans="2:7" ht="15" customHeight="1">
      <c r="B128" s="10">
        <v>107</v>
      </c>
      <c r="C128" s="118"/>
      <c r="D128" s="119"/>
      <c r="E128" s="118"/>
      <c r="F128" s="118"/>
      <c r="G128" s="120"/>
    </row>
    <row r="129" spans="2:7" ht="15" customHeight="1">
      <c r="B129" s="10">
        <v>108</v>
      </c>
      <c r="C129" s="118"/>
      <c r="D129" s="119"/>
      <c r="E129" s="118"/>
      <c r="F129" s="118"/>
      <c r="G129" s="120"/>
    </row>
    <row r="130" spans="2:7" ht="15" customHeight="1">
      <c r="B130" s="10">
        <v>109</v>
      </c>
      <c r="C130" s="118"/>
      <c r="D130" s="119"/>
      <c r="E130" s="118"/>
      <c r="F130" s="118"/>
      <c r="G130" s="120"/>
    </row>
    <row r="131" spans="2:7" ht="15" customHeight="1">
      <c r="B131" s="10">
        <v>110</v>
      </c>
      <c r="C131" s="118"/>
      <c r="D131" s="119"/>
      <c r="E131" s="118"/>
      <c r="F131" s="118"/>
      <c r="G131" s="120"/>
    </row>
    <row r="132" spans="2:7" ht="15" customHeight="1">
      <c r="B132" s="10">
        <v>111</v>
      </c>
      <c r="C132" s="118"/>
      <c r="D132" s="119"/>
      <c r="E132" s="118"/>
      <c r="F132" s="118"/>
      <c r="G132" s="120"/>
    </row>
    <row r="133" spans="2:7" ht="15" customHeight="1">
      <c r="B133" s="10">
        <v>112</v>
      </c>
      <c r="C133" s="118"/>
      <c r="D133" s="119"/>
      <c r="E133" s="118"/>
      <c r="F133" s="118"/>
      <c r="G133" s="120"/>
    </row>
    <row r="134" spans="2:7" ht="15" customHeight="1">
      <c r="B134" s="10">
        <v>113</v>
      </c>
      <c r="C134" s="118"/>
      <c r="D134" s="119"/>
      <c r="E134" s="118"/>
      <c r="F134" s="118"/>
      <c r="G134" s="120"/>
    </row>
    <row r="135" spans="2:7" ht="15" customHeight="1">
      <c r="B135" s="10">
        <v>114</v>
      </c>
      <c r="C135" s="118"/>
      <c r="D135" s="119"/>
      <c r="E135" s="118"/>
      <c r="F135" s="118"/>
      <c r="G135" s="120"/>
    </row>
    <row r="136" spans="2:7" ht="15" customHeight="1">
      <c r="B136" s="10">
        <v>115</v>
      </c>
      <c r="C136" s="118"/>
      <c r="D136" s="119"/>
      <c r="E136" s="118"/>
      <c r="F136" s="118"/>
      <c r="G136" s="120"/>
    </row>
    <row r="137" spans="2:7" ht="15" customHeight="1">
      <c r="B137" s="10">
        <v>116</v>
      </c>
      <c r="C137" s="118"/>
      <c r="D137" s="119"/>
      <c r="E137" s="118"/>
      <c r="F137" s="118"/>
      <c r="G137" s="120"/>
    </row>
    <row r="138" spans="2:7" ht="15" customHeight="1">
      <c r="B138" s="10">
        <v>117</v>
      </c>
      <c r="C138" s="118"/>
      <c r="D138" s="119"/>
      <c r="E138" s="118"/>
      <c r="F138" s="118"/>
      <c r="G138" s="120"/>
    </row>
    <row r="139" spans="2:7" ht="15" customHeight="1">
      <c r="B139" s="10">
        <v>118</v>
      </c>
      <c r="C139" s="118"/>
      <c r="D139" s="119"/>
      <c r="E139" s="118"/>
      <c r="F139" s="118"/>
      <c r="G139" s="120"/>
    </row>
    <row r="140" spans="2:7" ht="15" customHeight="1">
      <c r="B140" s="10">
        <v>119</v>
      </c>
      <c r="C140" s="118"/>
      <c r="D140" s="119"/>
      <c r="E140" s="118"/>
      <c r="F140" s="118"/>
      <c r="G140" s="120"/>
    </row>
    <row r="141" spans="2:7" ht="15" customHeight="1">
      <c r="B141" s="10">
        <v>120</v>
      </c>
      <c r="C141" s="118"/>
      <c r="D141" s="119"/>
      <c r="E141" s="118"/>
      <c r="F141" s="118"/>
      <c r="G141" s="120"/>
    </row>
    <row r="142" spans="2:7" ht="15" customHeight="1">
      <c r="B142" s="227" t="s">
        <v>11</v>
      </c>
      <c r="C142" s="227"/>
      <c r="D142" s="33">
        <f>SUM(D102:D141)</f>
        <v>0</v>
      </c>
      <c r="E142" s="102"/>
      <c r="F142" s="10"/>
      <c r="G142" s="83"/>
    </row>
    <row r="143" spans="2:7" ht="15.75" customHeight="1">
      <c r="E143" s="104"/>
    </row>
    <row r="144" spans="2:7" ht="15.75" customHeight="1">
      <c r="C144" s="398" t="s">
        <v>194</v>
      </c>
      <c r="D144" s="399"/>
      <c r="E144" s="402"/>
      <c r="F144" s="399"/>
    </row>
    <row r="145" spans="2:7" ht="15.75" customHeight="1">
      <c r="E145" s="104"/>
    </row>
    <row r="146" spans="2:7" ht="15.75" customHeight="1">
      <c r="E146" s="104"/>
      <c r="F146" s="400" t="str">
        <f>'지우지마세요!'!C3&amp;"년 "&amp;'지우지마세요!'!E3&amp;"월 "&amp;'지우지마세요!'!G3&amp;"일"</f>
        <v>2017년 3월 5일</v>
      </c>
      <c r="G146" s="401"/>
    </row>
    <row r="147" spans="2:7" ht="15.75" customHeight="1">
      <c r="E147" s="104"/>
    </row>
    <row r="148" spans="2:7" ht="15.75" customHeight="1">
      <c r="B148" s="1" t="s">
        <v>30</v>
      </c>
      <c r="C148" s="81" t="s">
        <v>31</v>
      </c>
      <c r="D148" s="33" t="s">
        <v>32</v>
      </c>
      <c r="E148" s="102" t="s">
        <v>33</v>
      </c>
      <c r="F148" s="81" t="s">
        <v>112</v>
      </c>
      <c r="G148" s="83" t="s">
        <v>198</v>
      </c>
    </row>
    <row r="149" spans="2:7" ht="15" customHeight="1">
      <c r="B149" s="81">
        <v>121</v>
      </c>
      <c r="C149" s="118"/>
      <c r="D149" s="119"/>
      <c r="E149" s="118"/>
      <c r="F149" s="118"/>
      <c r="G149" s="120"/>
    </row>
    <row r="150" spans="2:7" ht="15" customHeight="1">
      <c r="B150" s="81">
        <v>122</v>
      </c>
      <c r="C150" s="118"/>
      <c r="D150" s="119"/>
      <c r="E150" s="118"/>
      <c r="F150" s="118"/>
      <c r="G150" s="120"/>
    </row>
    <row r="151" spans="2:7" ht="15" customHeight="1">
      <c r="B151" s="81">
        <v>123</v>
      </c>
      <c r="C151" s="118"/>
      <c r="D151" s="119"/>
      <c r="E151" s="118"/>
      <c r="F151" s="118"/>
      <c r="G151" s="120"/>
    </row>
    <row r="152" spans="2:7" ht="15" customHeight="1">
      <c r="B152" s="81">
        <v>124</v>
      </c>
      <c r="C152" s="118"/>
      <c r="D152" s="119"/>
      <c r="E152" s="118"/>
      <c r="F152" s="118"/>
      <c r="G152" s="120"/>
    </row>
    <row r="153" spans="2:7" ht="15" customHeight="1">
      <c r="B153" s="81">
        <v>125</v>
      </c>
      <c r="C153" s="118"/>
      <c r="D153" s="119"/>
      <c r="E153" s="118"/>
      <c r="F153" s="118"/>
      <c r="G153" s="120"/>
    </row>
    <row r="154" spans="2:7" ht="15" customHeight="1">
      <c r="B154" s="81">
        <v>126</v>
      </c>
      <c r="C154" s="118"/>
      <c r="D154" s="119"/>
      <c r="E154" s="118"/>
      <c r="F154" s="118"/>
      <c r="G154" s="120"/>
    </row>
    <row r="155" spans="2:7" ht="15" customHeight="1">
      <c r="B155" s="81">
        <v>127</v>
      </c>
      <c r="C155" s="118"/>
      <c r="D155" s="119"/>
      <c r="E155" s="118"/>
      <c r="F155" s="118"/>
      <c r="G155" s="120"/>
    </row>
    <row r="156" spans="2:7" ht="15" customHeight="1">
      <c r="B156" s="81">
        <v>128</v>
      </c>
      <c r="C156" s="118"/>
      <c r="D156" s="119"/>
      <c r="E156" s="118"/>
      <c r="F156" s="118"/>
      <c r="G156" s="120"/>
    </row>
    <row r="157" spans="2:7" ht="15" customHeight="1">
      <c r="B157" s="81">
        <v>129</v>
      </c>
      <c r="C157" s="118"/>
      <c r="D157" s="119"/>
      <c r="E157" s="118"/>
      <c r="F157" s="118"/>
      <c r="G157" s="120"/>
    </row>
    <row r="158" spans="2:7" ht="15" customHeight="1">
      <c r="B158" s="81">
        <v>130</v>
      </c>
      <c r="C158" s="118"/>
      <c r="D158" s="119"/>
      <c r="E158" s="118"/>
      <c r="F158" s="118"/>
      <c r="G158" s="120"/>
    </row>
    <row r="159" spans="2:7" ht="15" customHeight="1">
      <c r="B159" s="81">
        <v>131</v>
      </c>
      <c r="C159" s="118"/>
      <c r="D159" s="119"/>
      <c r="E159" s="118"/>
      <c r="F159" s="118"/>
      <c r="G159" s="120"/>
    </row>
    <row r="160" spans="2:7" ht="15" customHeight="1">
      <c r="B160" s="81">
        <v>132</v>
      </c>
      <c r="C160" s="118"/>
      <c r="D160" s="119"/>
      <c r="E160" s="118"/>
      <c r="F160" s="118"/>
      <c r="G160" s="120"/>
    </row>
    <row r="161" spans="2:7" ht="15" customHeight="1">
      <c r="B161" s="81">
        <v>133</v>
      </c>
      <c r="C161" s="118"/>
      <c r="D161" s="119"/>
      <c r="E161" s="118"/>
      <c r="F161" s="118"/>
      <c r="G161" s="120"/>
    </row>
    <row r="162" spans="2:7" ht="15" customHeight="1">
      <c r="B162" s="81">
        <v>134</v>
      </c>
      <c r="C162" s="118"/>
      <c r="D162" s="119"/>
      <c r="E162" s="118"/>
      <c r="F162" s="118"/>
      <c r="G162" s="120"/>
    </row>
    <row r="163" spans="2:7" ht="15" customHeight="1">
      <c r="B163" s="81">
        <v>135</v>
      </c>
      <c r="C163" s="118"/>
      <c r="D163" s="119"/>
      <c r="E163" s="118"/>
      <c r="F163" s="118"/>
      <c r="G163" s="120"/>
    </row>
    <row r="164" spans="2:7" ht="15" customHeight="1">
      <c r="B164" s="81">
        <v>136</v>
      </c>
      <c r="C164" s="118"/>
      <c r="D164" s="119"/>
      <c r="E164" s="118"/>
      <c r="F164" s="118"/>
      <c r="G164" s="120"/>
    </row>
    <row r="165" spans="2:7" ht="15" customHeight="1">
      <c r="B165" s="81">
        <v>137</v>
      </c>
      <c r="C165" s="118"/>
      <c r="D165" s="119"/>
      <c r="E165" s="118"/>
      <c r="F165" s="118"/>
      <c r="G165" s="120"/>
    </row>
    <row r="166" spans="2:7" ht="15" customHeight="1">
      <c r="B166" s="81">
        <v>138</v>
      </c>
      <c r="C166" s="118"/>
      <c r="D166" s="119"/>
      <c r="E166" s="118"/>
      <c r="F166" s="118"/>
      <c r="G166" s="120"/>
    </row>
    <row r="167" spans="2:7" ht="15" customHeight="1">
      <c r="B167" s="81">
        <v>139</v>
      </c>
      <c r="C167" s="118"/>
      <c r="D167" s="119"/>
      <c r="E167" s="118"/>
      <c r="F167" s="118"/>
      <c r="G167" s="120"/>
    </row>
    <row r="168" spans="2:7" ht="15" customHeight="1">
      <c r="B168" s="81">
        <v>140</v>
      </c>
      <c r="C168" s="118"/>
      <c r="D168" s="119"/>
      <c r="E168" s="118"/>
      <c r="F168" s="118"/>
      <c r="G168" s="120"/>
    </row>
    <row r="169" spans="2:7" ht="15" customHeight="1">
      <c r="B169" s="81">
        <v>141</v>
      </c>
      <c r="C169" s="118"/>
      <c r="D169" s="119"/>
      <c r="E169" s="118"/>
      <c r="F169" s="118"/>
      <c r="G169" s="120"/>
    </row>
    <row r="170" spans="2:7" ht="15" customHeight="1">
      <c r="B170" s="81">
        <v>142</v>
      </c>
      <c r="C170" s="118"/>
      <c r="D170" s="119"/>
      <c r="E170" s="118"/>
      <c r="F170" s="118"/>
      <c r="G170" s="120"/>
    </row>
    <row r="171" spans="2:7" ht="15" customHeight="1">
      <c r="B171" s="81">
        <v>143</v>
      </c>
      <c r="C171" s="118"/>
      <c r="D171" s="119"/>
      <c r="E171" s="118"/>
      <c r="F171" s="118"/>
      <c r="G171" s="120"/>
    </row>
    <row r="172" spans="2:7" ht="15" customHeight="1">
      <c r="B172" s="81">
        <v>144</v>
      </c>
      <c r="C172" s="118"/>
      <c r="D172" s="119"/>
      <c r="E172" s="118"/>
      <c r="F172" s="118"/>
      <c r="G172" s="120"/>
    </row>
    <row r="173" spans="2:7" ht="15" customHeight="1">
      <c r="B173" s="81">
        <v>145</v>
      </c>
      <c r="C173" s="118"/>
      <c r="D173" s="119"/>
      <c r="E173" s="118"/>
      <c r="F173" s="118"/>
      <c r="G173" s="120"/>
    </row>
    <row r="174" spans="2:7" ht="15" customHeight="1">
      <c r="B174" s="81">
        <v>146</v>
      </c>
      <c r="C174" s="118"/>
      <c r="D174" s="119"/>
      <c r="E174" s="118"/>
      <c r="F174" s="118"/>
      <c r="G174" s="120"/>
    </row>
    <row r="175" spans="2:7" ht="15" customHeight="1">
      <c r="B175" s="81">
        <v>147</v>
      </c>
      <c r="C175" s="118"/>
      <c r="D175" s="119"/>
      <c r="E175" s="118"/>
      <c r="F175" s="118"/>
      <c r="G175" s="120"/>
    </row>
    <row r="176" spans="2:7" ht="15" customHeight="1">
      <c r="B176" s="81">
        <v>148</v>
      </c>
      <c r="C176" s="118"/>
      <c r="D176" s="119"/>
      <c r="E176" s="118"/>
      <c r="F176" s="118"/>
      <c r="G176" s="120"/>
    </row>
    <row r="177" spans="2:7" ht="15" customHeight="1">
      <c r="B177" s="81">
        <v>149</v>
      </c>
      <c r="C177" s="118"/>
      <c r="D177" s="119"/>
      <c r="E177" s="118"/>
      <c r="F177" s="118"/>
      <c r="G177" s="120"/>
    </row>
    <row r="178" spans="2:7" ht="15" customHeight="1">
      <c r="B178" s="81">
        <v>150</v>
      </c>
      <c r="C178" s="118"/>
      <c r="D178" s="119"/>
      <c r="E178" s="118"/>
      <c r="F178" s="118"/>
      <c r="G178" s="120"/>
    </row>
    <row r="179" spans="2:7" ht="15" customHeight="1">
      <c r="B179" s="81">
        <v>151</v>
      </c>
      <c r="C179" s="118"/>
      <c r="D179" s="119"/>
      <c r="E179" s="118"/>
      <c r="F179" s="118"/>
      <c r="G179" s="120"/>
    </row>
    <row r="180" spans="2:7" ht="15" customHeight="1">
      <c r="B180" s="81">
        <v>152</v>
      </c>
      <c r="C180" s="118"/>
      <c r="D180" s="119"/>
      <c r="E180" s="118"/>
      <c r="F180" s="118"/>
      <c r="G180" s="120"/>
    </row>
    <row r="181" spans="2:7" ht="15" customHeight="1">
      <c r="B181" s="81">
        <v>153</v>
      </c>
      <c r="C181" s="118"/>
      <c r="D181" s="119"/>
      <c r="E181" s="118"/>
      <c r="F181" s="118"/>
      <c r="G181" s="120"/>
    </row>
    <row r="182" spans="2:7" ht="15" customHeight="1">
      <c r="B182" s="81">
        <v>154</v>
      </c>
      <c r="C182" s="118"/>
      <c r="D182" s="119"/>
      <c r="E182" s="118"/>
      <c r="F182" s="118"/>
      <c r="G182" s="120"/>
    </row>
    <row r="183" spans="2:7" ht="15" customHeight="1">
      <c r="B183" s="81">
        <v>155</v>
      </c>
      <c r="C183" s="118"/>
      <c r="D183" s="119"/>
      <c r="E183" s="118"/>
      <c r="F183" s="118"/>
      <c r="G183" s="120"/>
    </row>
    <row r="184" spans="2:7" ht="15" customHeight="1">
      <c r="B184" s="81">
        <v>156</v>
      </c>
      <c r="C184" s="118"/>
      <c r="D184" s="119"/>
      <c r="E184" s="118"/>
      <c r="F184" s="118"/>
      <c r="G184" s="120"/>
    </row>
    <row r="185" spans="2:7" ht="15" customHeight="1">
      <c r="B185" s="81">
        <v>157</v>
      </c>
      <c r="C185" s="118"/>
      <c r="D185" s="119"/>
      <c r="E185" s="118"/>
      <c r="F185" s="118"/>
      <c r="G185" s="120"/>
    </row>
    <row r="186" spans="2:7" ht="15" customHeight="1">
      <c r="B186" s="81">
        <v>158</v>
      </c>
      <c r="C186" s="118"/>
      <c r="D186" s="119"/>
      <c r="E186" s="118"/>
      <c r="F186" s="118"/>
      <c r="G186" s="120"/>
    </row>
    <row r="187" spans="2:7" ht="15" customHeight="1">
      <c r="B187" s="81">
        <v>159</v>
      </c>
      <c r="C187" s="118"/>
      <c r="D187" s="119"/>
      <c r="E187" s="118"/>
      <c r="F187" s="118"/>
      <c r="G187" s="120"/>
    </row>
    <row r="188" spans="2:7" ht="15" customHeight="1">
      <c r="B188" s="81">
        <v>160</v>
      </c>
      <c r="C188" s="118"/>
      <c r="D188" s="119"/>
      <c r="E188" s="118"/>
      <c r="F188" s="118"/>
      <c r="G188" s="120"/>
    </row>
    <row r="189" spans="2:7" ht="15" customHeight="1">
      <c r="B189" s="227" t="s">
        <v>11</v>
      </c>
      <c r="C189" s="227"/>
      <c r="D189" s="33">
        <f>SUM(D149:D188)</f>
        <v>0</v>
      </c>
      <c r="E189" s="81"/>
      <c r="F189" s="81"/>
      <c r="G189" s="83"/>
    </row>
  </sheetData>
  <sheetProtection password="CFDC" sheet="1" objects="1" scenarios="1"/>
  <mergeCells count="13">
    <mergeCell ref="C144:F144"/>
    <mergeCell ref="F146:G146"/>
    <mergeCell ref="B189:C189"/>
    <mergeCell ref="C97:F97"/>
    <mergeCell ref="F99:G99"/>
    <mergeCell ref="B142:C142"/>
    <mergeCell ref="B95:C95"/>
    <mergeCell ref="B48:C48"/>
    <mergeCell ref="C2:F2"/>
    <mergeCell ref="F4:G4"/>
    <mergeCell ref="B47:C47"/>
    <mergeCell ref="C50:F50"/>
    <mergeCell ref="F52:G52"/>
  </mergeCells>
  <phoneticPr fontId="1" type="noConversion"/>
  <pageMargins left="0.7" right="0.7" top="0.75" bottom="0.75" header="0.3" footer="0.3"/>
  <pageSetup paperSize="9" scale="98" orientation="portrait" r:id="rId1"/>
  <rowBreaks count="2" manualBreakCount="2">
    <brk id="95" max="6" man="1"/>
    <brk id="142" max="16383" man="1"/>
  </rowBreaks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2:J22"/>
  <sheetViews>
    <sheetView showGridLines="0" tabSelected="1" view="pageBreakPreview" zoomScaleNormal="100" zoomScaleSheetLayoutView="100" workbookViewId="0">
      <selection activeCell="P11" sqref="P11"/>
    </sheetView>
  </sheetViews>
  <sheetFormatPr defaultRowHeight="16.5"/>
  <cols>
    <col min="1" max="1" width="14.5" customWidth="1"/>
    <col min="2" max="2" width="13.375" customWidth="1"/>
    <col min="3" max="3" width="6.75" customWidth="1"/>
    <col min="4" max="10" width="4.5" customWidth="1"/>
    <col min="11" max="11" width="14.5" customWidth="1"/>
  </cols>
  <sheetData>
    <row r="2" spans="1:10" ht="26.25">
      <c r="B2" s="409" t="s">
        <v>144</v>
      </c>
      <c r="C2" s="409"/>
      <c r="D2" s="409"/>
      <c r="E2" s="409"/>
      <c r="F2" s="409"/>
      <c r="G2" s="409"/>
      <c r="H2" s="409"/>
      <c r="I2" s="409"/>
      <c r="J2" s="409"/>
    </row>
    <row r="3" spans="1:10" ht="20.25">
      <c r="B3" s="30" t="s">
        <v>145</v>
      </c>
      <c r="C3" s="107">
        <v>2017</v>
      </c>
      <c r="D3" s="27" t="s">
        <v>146</v>
      </c>
      <c r="E3" s="107">
        <v>3</v>
      </c>
      <c r="F3" s="27" t="s">
        <v>147</v>
      </c>
      <c r="G3" s="107">
        <v>5</v>
      </c>
      <c r="H3" s="27" t="s">
        <v>149</v>
      </c>
      <c r="I3" s="107">
        <v>18</v>
      </c>
      <c r="J3" s="27" t="s">
        <v>148</v>
      </c>
    </row>
    <row r="4" spans="1:10">
      <c r="E4" s="399" t="s">
        <v>180</v>
      </c>
      <c r="F4" s="399"/>
      <c r="G4" s="399"/>
      <c r="H4" s="422" t="s">
        <v>199</v>
      </c>
      <c r="I4" s="422"/>
      <c r="J4" s="422"/>
    </row>
    <row r="6" spans="1:10" ht="33" customHeight="1">
      <c r="B6" s="410" t="s">
        <v>150</v>
      </c>
      <c r="C6" s="411"/>
      <c r="D6" s="411"/>
      <c r="E6" s="411"/>
      <c r="F6" s="411"/>
      <c r="G6" s="411"/>
      <c r="H6" s="411"/>
      <c r="I6" s="411"/>
      <c r="J6" s="412"/>
    </row>
    <row r="7" spans="1:10" ht="25.5" customHeight="1">
      <c r="B7" s="28" t="s">
        <v>151</v>
      </c>
      <c r="C7" s="403">
        <f>금주헌금집계표!T46</f>
        <v>542225536</v>
      </c>
      <c r="D7" s="404"/>
      <c r="E7" s="405"/>
      <c r="F7" s="419"/>
      <c r="G7" s="413">
        <v>542225536</v>
      </c>
      <c r="H7" s="414"/>
      <c r="I7" s="414"/>
      <c r="J7" s="415"/>
    </row>
    <row r="8" spans="1:10" ht="25.5" customHeight="1">
      <c r="B8" s="28" t="s">
        <v>152</v>
      </c>
      <c r="C8" s="403">
        <f>금주헌금집계표!T47</f>
        <v>529925551</v>
      </c>
      <c r="D8" s="404"/>
      <c r="E8" s="405"/>
      <c r="F8" s="420"/>
      <c r="G8" s="413">
        <v>529925551</v>
      </c>
      <c r="H8" s="414"/>
      <c r="I8" s="414"/>
      <c r="J8" s="415"/>
    </row>
    <row r="9" spans="1:10" ht="25.5" customHeight="1">
      <c r="B9" s="28" t="s">
        <v>153</v>
      </c>
      <c r="C9" s="403">
        <f>금주헌금집계표!T48</f>
        <v>46135660</v>
      </c>
      <c r="D9" s="404"/>
      <c r="E9" s="405"/>
      <c r="F9" s="420"/>
      <c r="G9" s="413">
        <v>46135660</v>
      </c>
      <c r="H9" s="414"/>
      <c r="I9" s="414"/>
      <c r="J9" s="415"/>
    </row>
    <row r="10" spans="1:10" ht="25.5" customHeight="1">
      <c r="B10" s="29" t="s">
        <v>154</v>
      </c>
      <c r="C10" s="406">
        <f>금주헌금집계표!T49</f>
        <v>58435645</v>
      </c>
      <c r="D10" s="407"/>
      <c r="E10" s="408"/>
      <c r="F10" s="421"/>
      <c r="G10" s="416">
        <v>58435645</v>
      </c>
      <c r="H10" s="417"/>
      <c r="I10" s="417"/>
      <c r="J10" s="418"/>
    </row>
    <row r="11" spans="1:10" ht="52.5" customHeight="1"/>
    <row r="14" spans="1:10">
      <c r="A14" s="35" t="s">
        <v>143</v>
      </c>
    </row>
    <row r="15" spans="1:10">
      <c r="A15" s="36" t="s">
        <v>200</v>
      </c>
    </row>
    <row r="16" spans="1:10">
      <c r="A16" s="36" t="s">
        <v>201</v>
      </c>
    </row>
    <row r="17" spans="1:1">
      <c r="A17" s="36" t="s">
        <v>202</v>
      </c>
    </row>
    <row r="18" spans="1:1">
      <c r="A18" s="36" t="s">
        <v>203</v>
      </c>
    </row>
    <row r="19" spans="1:1">
      <c r="A19" s="36" t="s">
        <v>204</v>
      </c>
    </row>
    <row r="20" spans="1:1">
      <c r="A20" s="36" t="s">
        <v>205</v>
      </c>
    </row>
    <row r="21" spans="1:1">
      <c r="A21" s="36" t="s">
        <v>206</v>
      </c>
    </row>
    <row r="22" spans="1:1">
      <c r="A22" s="36" t="s">
        <v>207</v>
      </c>
    </row>
  </sheetData>
  <sheetProtection password="CFDC" sheet="1" objects="1" scenarios="1"/>
  <mergeCells count="13">
    <mergeCell ref="C9:E9"/>
    <mergeCell ref="C10:E10"/>
    <mergeCell ref="B2:J2"/>
    <mergeCell ref="B6:J6"/>
    <mergeCell ref="G7:J7"/>
    <mergeCell ref="G8:J8"/>
    <mergeCell ref="G9:J9"/>
    <mergeCell ref="G10:J10"/>
    <mergeCell ref="F7:F10"/>
    <mergeCell ref="C7:E7"/>
    <mergeCell ref="C8:E8"/>
    <mergeCell ref="H4:J4"/>
    <mergeCell ref="E4:G4"/>
  </mergeCells>
  <phoneticPr fontId="1" type="noConversion"/>
  <pageMargins left="0.7" right="0.7" top="0.75" bottom="0.75" header="0.3" footer="0.3"/>
  <pageSetup paperSize="9" scale="95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6</vt:i4>
      </vt:variant>
      <vt:variant>
        <vt:lpstr>이름이 지정된 범위</vt:lpstr>
      </vt:variant>
      <vt:variant>
        <vt:i4>5</vt:i4>
      </vt:variant>
    </vt:vector>
  </HeadingPairs>
  <TitlesOfParts>
    <vt:vector size="11" baseType="lpstr">
      <vt:lpstr>금주헌금집계표</vt:lpstr>
      <vt:lpstr>헌금입금확인서</vt:lpstr>
      <vt:lpstr>헌금집계표</vt:lpstr>
      <vt:lpstr>지출내역</vt:lpstr>
      <vt:lpstr>송금요청서</vt:lpstr>
      <vt:lpstr>지우지마세요!</vt:lpstr>
      <vt:lpstr>금주헌금집계표!Print_Area</vt:lpstr>
      <vt:lpstr>송금요청서!Print_Area</vt:lpstr>
      <vt:lpstr>'지우지마세요!'!Print_Area</vt:lpstr>
      <vt:lpstr>헌금입금확인서!Print_Area</vt:lpstr>
      <vt:lpstr>헌금집계표!Print_Area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Chan</dc:creator>
  <cp:lastModifiedBy>thrulife</cp:lastModifiedBy>
  <cp:lastPrinted>2017-04-16T13:38:55Z</cp:lastPrinted>
  <dcterms:created xsi:type="dcterms:W3CDTF">2017-04-04T23:51:32Z</dcterms:created>
  <dcterms:modified xsi:type="dcterms:W3CDTF">2017-04-26T13:55:16Z</dcterms:modified>
</cp:coreProperties>
</file>